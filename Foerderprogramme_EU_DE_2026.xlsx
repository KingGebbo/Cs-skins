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Start" sheetId="1" state="visible" r:id="rId3"/>
    <sheet name="01_EU_Programme" sheetId="2" state="visible" r:id="rId4"/>
    <sheet name="02_DE_Programme" sheetId="3" state="visible" r:id="rId5"/>
    <sheet name="03_Deadlines" sheetId="4" state="visible" r:id="rId6"/>
    <sheet name="04_Fit_Check" sheetId="5" state="visible" r:id="rId7"/>
    <sheet name="05_Quellen" sheetId="6" state="visible" r:id="rId8"/>
  </sheets>
  <definedNames>
    <definedName function="false" hidden="true" localSheetId="1" name="_xlnm._FilterDatabase" vbProcedure="false">01_EU_Programme!$A$2:$Q$26</definedName>
    <definedName function="false" hidden="true" localSheetId="2" name="_xlnm._FilterDatabase" vbProcedure="false">02_DE_Programme!$A$2:$Q$13</definedName>
    <definedName function="false" hidden="true" localSheetId="3" name="_xlnm._FilterDatabase" vbProcedure="false">03_Deadlines!$A$5:$G$29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<sst xmlns="http://schemas.openxmlformats.org/spreadsheetml/2006/main" count="872" uniqueCount="718">
  <si>
    <t xml:space="preserve">Foerderprogramme EU &amp; Deutschland fuer Deep-Tech / AI-Startups und Mittelstand</t>
  </si>
  <si>
    <t xml:space="preserve">Recherchestand: 11. August 2026  |  Erstellt fuer: GHNW Services / Gabriel Hilbrig</t>
  </si>
  <si>
    <t xml:space="preserve">1. Was in dieser Datei steht</t>
  </si>
  <si>
    <t xml:space="preserve">Blatt 01_EU_Programme</t>
  </si>
  <si>
    <t xml:space="preserve">21 europaeische Programme mit harten Anforderungen, Foerderhoehen, Quoten, Fristen und K.-o.-Kriterien.</t>
  </si>
  <si>
    <t xml:space="preserve">Blatt 02_DE_Programme</t>
  </si>
  <si>
    <t xml:space="preserve">9 deutsche Bundesprogramme, die sich mit EU-Foerderung kombinieren lassen (inkl. Kumulierungsregeln zur Forschungszulage).</t>
  </si>
  <si>
    <t xml:space="preserve">Blatt 03_Deadlines</t>
  </si>
  <si>
    <t xml:space="preserve">Alle bekannten Fristen 2026/2027 in zeitlicher Reihenfolge, mit Status offen/abgelaufen.</t>
  </si>
  <si>
    <t xml:space="preserve">Blatt 04_Fit_Check</t>
  </si>
  <si>
    <t xml:space="preserve">Priorisierung fuer das konkrete Profil: dt. Tech-/AI-Startup + etablierte Mittelstandsfirmen + Gruendernetzwerk.</t>
  </si>
  <si>
    <t xml:space="preserve">Blatt 05_Quellen</t>
  </si>
  <si>
    <t xml:space="preserve">Alle verwendeten Quellen mit URL und Verifizierungsgrad.</t>
  </si>
  <si>
    <t xml:space="preserve">2. Verifizierungsgrade (Spalte 'Verifizierung' in allen Blaettern)</t>
  </si>
  <si>
    <t xml:space="preserve">A - Primaerquelle</t>
  </si>
  <si>
    <t xml:space="preserve">Direkt aus offiziellem Rechts-/Programmdokument entnommen (z. B. EIC Work Programme 2026 PDF, Eurostars Eligibility Guidelines v5.3, Gesetzestext). Belastbar.</t>
  </si>
  <si>
    <t xml:space="preserve">B - Offizielle Website</t>
  </si>
  <si>
    <t xml:space="preserve">Von der offiziellen Programm-/Behoerdenwebsite. Belastbar, aber Detailregeln immer im Call-Dokument gegenpruefen.</t>
  </si>
  <si>
    <t xml:space="preserve">C - Sekundaerquelle</t>
  </si>
  <si>
    <t xml:space="preserve">Aus Beratungs-/Presseartikeln oder aggregierten Portalen. VOR Antragstellung zwingend an der Primaerquelle verifizieren.</t>
  </si>
  <si>
    <t xml:space="preserve">3. Die fuenf wichtigsten Erkenntnisse</t>
  </si>
  <si>
    <t xml:space="preserve">1</t>
  </si>
  <si>
    <t xml:space="preserve">Eurostars ist fuer den Wunsch 'Deep Tech AI mit einem weiteren europaeischen Partner' das passgenaueste Programm. Naechste Frist: 10.09.2026, 14:00 CET (Call 11). Deutsche Partner erhalten zusammen aber maximal 500.000 EUR - das ist der begrenzende Faktor, nicht die Erfolgswahrscheinlichkeit.</t>
  </si>
  <si>
    <t xml:space="preserve">2</t>
  </si>
  <si>
    <t xml:space="preserve">EIC Accelerator ist 2026 deutlich schneller geworden: Short Proposal jederzeit einreichbar, Batching jeden ersten Dienstag im Monat, sechs Full-Proposal-Cut-offs statt zwei. Achtung: nach drei erfolglosen Einreichungen ist man fuer den Rest von Horizon Europe (bis 2027) gesperrt - also nicht 'mal eben probieren'.</t>
  </si>
  <si>
    <t xml:space="preserve">3</t>
  </si>
  <si>
    <t xml:space="preserve">Fuer AI gibt es 2026 zwei thematisch exakt passende EIC-Toepfe: Pathfinder Challenge 'DeepRAP - trustworthy Cognitive AI' (Frist 28.10.2026, bis 4 Mio EUR, 100 %) und die AIC-Challenge 'Physical AI / Embodied Intelligence' (Stage 1 lief bereits 26.02.2026 aus, Stage 2 in 2027 nur fuer Stage-1-Teilnehmer).</t>
  </si>
  <si>
    <t xml:space="preserve">4</t>
  </si>
  <si>
    <t xml:space="preserve">ZIM - das Standardprogramm des deutschen Mittelstands - hat seit 07.07.2026, 12:00 Uhr einen befristeten Antragsstopp. Ausgenommen sind nur Antraege mit internationalen Partnern in offenen bi-/multilateralen Calls. Eine Aufhebung wird fuer Anfang 2027 angestrebt, ist aber nicht zugesichert. Das verschiebt Budget faktisch Richtung EU-Programme und Forschungszulage.</t>
  </si>
  <si>
    <t xml:space="preserve">5</t>
  </si>
  <si>
    <t xml:space="preserve">Forschungszulage und EU-Zuschuesse schliessen sich nicht aus, aber dieselben Aufwendungen duerfen nur einmal gefoerdert werden (Paragraf 7 FZulG). Ab 01.01.2026 steigt die Bemessungsgrundlage auf 12 Mio EUR/Jahr, KMU-Satz 35 % - also bis 4,2 Mio EUR jaehrlich. Sauberes Kostentrennungs-Setup pro Projekt ist damit bares Geld wert.</t>
  </si>
  <si>
    <t xml:space="preserve">4. Offener Punkt: der erwaehnte Screenshot</t>
  </si>
  <si>
    <t xml:space="preserve">Screenshot fehlt</t>
  </si>
  <si>
    <t xml:space="preserve">In der Anfrage wurde ein Screenshot zur 'USA-Foerderung rechter Projekte' erwaehnt. Dieser Anfrage lag KEIN Bild bei und im Repository liegt keine Bilddatei. Es wurde daher nichts dazu geprueft und bewusst auch nichts dazu vermutet oder rekonstruiert. Bitte den Screenshot nachreichen - dann wird er separat ausgewertet.</t>
  </si>
  <si>
    <t xml:space="preserve">5. Korrekturen nach unabhaengiger Faktenpruefung (11.08.2026)</t>
  </si>
  <si>
    <t xml:space="preserve">Warum das hier steht</t>
  </si>
  <si>
    <t xml:space="preserve">Diese Datei wurde nach der Ersterstellung von einem zweiten, unabhaengigen Pruefdurchlauf gegen die Primaerquellen kontrolliert. Dabei sind acht Sachfehler gefunden und korrigiert worden. Sie stehen hier, damit nachvollziehbar bleibt, was sich geaendert hat - und damit niemand mit einer aelteren Fassung weiterarbeitet.</t>
  </si>
  <si>
    <t xml:space="preserve">K1</t>
  </si>
  <si>
    <t xml:space="preserve">ZIM-Foerderhoehe war falsch: 690.000 / 560.000 / 280.000 EUR sind ZUWENDUNGSFAEHIGE KOSTEN, nicht Foerderbetraege. Der Zuschuss ergibt sich erst aus Kosten x Foerdersatz. Ein kleines Unternehmen im Kooperationsprojekt bekommt also rund 252.000 EUR, nicht 560.000 EUR.</t>
  </si>
  <si>
    <t xml:space="preserve">K2</t>
  </si>
  <si>
    <t xml:space="preserve">ZIM-Foerdersaetze waren falsch etikettiert: die genannten 55/50/45/40/30 % gelten fuer KOOPERATIONSPROJEKTE, nicht fuer nationale Projekte allgemein. Fuer Einzelprojekte gelten 45/45/40/35/25 % - Abweichung bis 10 Prozentpunkte.</t>
  </si>
  <si>
    <t xml:space="preserve">K3</t>
  </si>
  <si>
    <t xml:space="preserve">ZIM-Zielgruppe war falsch eingeengt: kleine Unternehmen sind fuer Einzel- UND Kooperationsprojekte antragsberechtigt. Die Kooperationsauflage gilt nur fuer Unternehmen bis 999 Beschaeftigte.</t>
  </si>
  <si>
    <t xml:space="preserve">K4</t>
  </si>
  <si>
    <t xml:space="preserve">EIC Transition: die 18-Monats-Regel fuer LAUFENDE Vorprojekte fehlte komplett. Der Grant-Start muss mehr als 18 Monate vor dem Cut-off liegen (Ausnahme ERC PoC: 6 Monate). Ein gerade gestartetes Vorprojekt qualifiziert nicht. Ausserdem war die Liste der foerderfaehigen Vorprojekte unvollstaendig.</t>
  </si>
  <si>
    <t xml:space="preserve">K5</t>
  </si>
  <si>
    <t xml:space="preserve">Forschungszulage: der Verweis lautet richtig Paragraf 7 Abs. 2 SATZ 1 FZulG. Wichtiger: nach Paragraf 3 Abs. 6 FZulG gilt die 12-Mio-Bemessungsgrundlage bei VERBUNDENEN UNTERNEHMEN nur einmal insgesamt - bei mehreren eigenen Firmen ist das der entscheidende Punkt und fehlte.</t>
  </si>
  <si>
    <t xml:space="preserve">K6</t>
  </si>
  <si>
    <t xml:space="preserve">EXIST-Sachmittel waren vertauscht: 30.000 EUR gelten fuer TEAMS, bis 10.000 EUR fuer Einzelgruendungen - nicht umgekehrt.</t>
  </si>
  <si>
    <t xml:space="preserve">K7</t>
  </si>
  <si>
    <t xml:space="preserve">INVEST laeuft zum 31.12.2026 aus. Das fehlte und ist ein K.-o.-Faktor fuer jede Angel-Runde, die spaeter geplant ist.</t>
  </si>
  <si>
    <t xml:space="preserve">K8</t>
  </si>
  <si>
    <t xml:space="preserve">Xecs Call 6: Deutschland ist KEIN teilnehmendes Land - ein deutscher Partner kann dort nur selbstfinanziert mitmachen. Ausserdem: der Canada Call 7 listet nur Kanada, taugt also nicht als 'naechste Frist' fuer dieses Profil.</t>
  </si>
  <si>
    <t xml:space="preserve">Neu aufgenommen</t>
  </si>
  <si>
    <t xml:space="preserve">SPRIND, KfW/ERP-Kredite, ERC Proof of Concept, MSCA und Eureka Innowwide waren in der ersten Fassung nicht enthalten und wurden ergaenzt.</t>
  </si>
  <si>
    <t xml:space="preserve">6. Methodik und Grenzen</t>
  </si>
  <si>
    <t xml:space="preserve">Primaerquellen</t>
  </si>
  <si>
    <t xml:space="preserve">EIC Work Programme 2026 (C(2026) 4080, 209 Seiten) und Eurostars Eligibility Guidelines v5.3 (Juni 2026) wurden als PDF heruntergeladen und im Volltext ausgewertet - nicht aus dem Gedaechtnis zitiert.</t>
  </si>
  <si>
    <t xml:space="preserve">Keine Erfolgsquoten</t>
  </si>
  <si>
    <t xml:space="preserve">Bewusst keine Angaben zu Bewilligungsquoten: dafuer lagen keine belastbaren aktuellen Primaerdaten vor. Lieber eine Luecke als eine erfundene Zahl.</t>
  </si>
  <si>
    <t xml:space="preserve">Nationale Regeln</t>
  </si>
  <si>
    <t xml:space="preserve">Bei Eureka-Programmen (Eurostars, Cluster, Globalstars) entscheidet ausschliesslich die nationale Foerderstelle ueber Quote und Hoechstbetrag. Die EU-Ebene regelt nur die Projektfoerderfaehigkeit.</t>
  </si>
  <si>
    <t xml:space="preserve">Haftung</t>
  </si>
  <si>
    <t xml:space="preserve">Diese Uebersicht ersetzt keine Foerdermittelberatung und keine Rechtsberatung. Vor jeder Einreichung gilt ausschliesslich das jeweils aktuelle Call-Dokument im EU Funding &amp; Tenders Portal bzw. die nationale Richtlinie.</t>
  </si>
  <si>
    <t xml:space="preserve">Anzahl erfasster Programme</t>
  </si>
  <si>
    <t xml:space="preserve">davon aus Primaerquelle (A) belegt</t>
  </si>
  <si>
    <t xml:space="preserve">01 | Europaeische Foerderprogramme fuer Deep-Tech / AI - Stand 11.08.2026   (Passung: 5 = sehr gut fuer dt. AI-/Deep-Tech-Firma  |  Aufwand: 1 = gering, 5 = sehr hoch)</t>
  </si>
  <si>
    <t xml:space="preserve">Nr</t>
  </si>
  <si>
    <t xml:space="preserve">Programm</t>
  </si>
  <si>
    <t xml:space="preserve">Ebene / Traeger</t>
  </si>
  <si>
    <t xml:space="preserve">Instrument</t>
  </si>
  <si>
    <t xml:space="preserve">Zielgruppe (wer darf)</t>
  </si>
  <si>
    <t xml:space="preserve">TRL / Reifegrad</t>
  </si>
  <si>
    <t xml:space="preserve">Konsortium (harte Anforderung)</t>
  </si>
  <si>
    <t xml:space="preserve">Foerderhoehe (max.)</t>
  </si>
  <si>
    <t xml:space="preserve">Foerderquote</t>
  </si>
  <si>
    <t xml:space="preserve">Projektdauer</t>
  </si>
  <si>
    <t xml:space="preserve">Fristen 2026 / 2027</t>
  </si>
  <si>
    <t xml:space="preserve">Harte Eligibility-Kriterien</t>
  </si>
  <si>
    <t xml:space="preserve">K.-o.-Kriterien &amp; Stolpersteine</t>
  </si>
  <si>
    <t xml:space="preserve">Passung (1-5)</t>
  </si>
  <si>
    <t xml:space="preserve">Aufwand (1-5)</t>
  </si>
  <si>
    <t xml:space="preserve">Verifizierung</t>
  </si>
  <si>
    <t xml:space="preserve">Quelle</t>
  </si>
  <si>
    <t xml:space="preserve">Eurostars 3 (Call 11 / Call 12)</t>
  </si>
  <si>
    <t xml:space="preserve">Eureka-Netzwerk (37 Laender), ko-finanziert aus Horizon Europe; Auszahlung national</t>
  </si>
  <si>
    <t xml:space="preserve">Zuschuss (national ausgezahlt)</t>
  </si>
  <si>
    <t xml:space="preserve">Innovatives KMU als Konsortialfuehrer. Partner: weitere KMU, Grossunternehmen, Hochschulen, Forschungsinstitute, Stiftungen, Vereine.</t>
  </si>
  <si>
    <t xml:space="preserve">Keine formale TRL-Vorgabe (bottom-up, marktnahe F&amp;E). DE-Foerderung nur bis Prototyp (bis TRL 6).</t>
  </si>
  <si>
    <t xml:space="preserve">Mind. 2 voneinander unabhaengige Rechtspersonen aus mind. 2 Eurostars-Laendern; mind. 1 davon aus EU-Mitgliedstaat oder Horizon-Europe-assoziiertem Land. Lead = innovatives KMU aus einem Eurostars-Land.</t>
  </si>
  <si>
    <t xml:space="preserve">National geregelt. DE: max. 500.000 EUR fuer ALLE deutschen Partner zusammen.</t>
  </si>
  <si>
    <t xml:space="preserve">National. DE: KMU 50 % der zuwendungsfaehigen Kosten; dt. Hochschulen/Forschungseinrichtungen 100 %, aber nur wenn ein dt. KMU einen eigenstaendigen und substanziellen F&amp;E-Beitrag leistet; dt. Grossunternehmen erhalten keine Foerderung.</t>
  </si>
  <si>
    <t xml:space="preserve">Max. 36 Monate</t>
  </si>
  <si>
    <t xml:space="preserve">Call 10 geschlossen 19.03.2026, 14:00 CET. Call 11: geoeffnet 09.07.2026, Frist 10.09.2026, 14:00 CET. Eligibility-Pruefung binnen 1 Woche nach Frist.</t>
  </si>
  <si>
    <t xml:space="preserve">Sieben kumulative Kriterien: (1) Lead = innovatives KMU aus Eurostars-Land; (2) mind. 2 unabhaengige Entitaeten; (3) mind. 2 Eurostars-Laender, davon mind. 1 EU/HE-assoziiert; (4) Budget der KMU aus Eurostars-Laendern abzueglich deren Unterauftraege &gt;= 50 % der Gesamtprojektkosten (Zahl wird NICHT gerundet); (5) kein einzelner Partner und kein einzelnes Land &gt; 70 % des Projektbudgets (inkl. Unterauftraege, Laenderbudgets werden addiert); (6) Dauer &lt;= 36 Monate; (7) ausschliesslich zivile Anwendung. Zusaetzlich: mind. 1 Teilnehmer muss oeffentliche Foerderung erhalten - rein eigenfinanzierte Konsortien sind unzulaessig.</t>
  </si>
  <si>
    <t xml:space="preserve">Unterauftraege ZWISCHEN Projektpartnern sind verboten - fuer alle Organisationstypen. KMU-Status nach EU-Empfehlung 2003/361 inkl. Partner- und verbundener Unternehmen: VC-/Konzernbeteiligung kann den KMU-Status kippen. Eligibility muss von Einreichung bis Unterzeichnung des Konsortialvertrags (ca. 5-6 Monate) durchgehend erfuellt bleiben; nachtraegliche Aenderungen sind meldepflichtig und koennen zum Ausschluss fuehren. Zivil-Kriterium wird automatisch anhand Frage 13 im Antrag geprueft, danach zusaetzlich vom Ethikpanel.</t>
  </si>
  <si>
    <t xml:space="preserve">A - Primaerquelle (Eligibility Guidelines v5.3, Juni 2026) + B fuer DE-Saetze</t>
  </si>
  <si>
    <t xml:space="preserve">eurekanetwork.org/programme-resources/eurostars-eligibility-criteria-guidelines/ | bmftr.bund.de Eurostars</t>
  </si>
  <si>
    <t xml:space="preserve">EIC Pathfinder Open</t>
  </si>
  <si>
    <t xml:space="preserve">EU / EIC (EISMEA), Horizon Europe Saeule III</t>
  </si>
  <si>
    <t xml:space="preserve">Zuschuss, Lump Sum (RIA)</t>
  </si>
  <si>
    <t xml:space="preserve">Nur Konsortien. Moeglich sind Universitaeten, Forschungsorganisationen, KMU, Start-ups, Industriepartner und natuerliche Personen.</t>
  </si>
  <si>
    <t xml:space="preserve">Start bei sehr niedrigem TRL, Ziel: Proof of Principle, TRL 3-4</t>
  </si>
  <si>
    <t xml:space="preserve">Mind. 3 unabhaengige Rechtspersonen: mind. 1 in einem EU-Mitgliedstaat plus mind. 2 weitere unabhaengige, jeweils in unterschiedlichen Mitgliedstaaten oder assoziierten Laendern.</t>
  </si>
  <si>
    <t xml:space="preserve">Bis 4 Mio EUR (2026 von 3 auf 4 Mio erhoeht); hoehere Betraege moeglich, wenn begruendet. Call-Budget 166 Mio EUR.</t>
  </si>
  <si>
    <t xml:space="preserve">100 % der foerderfaehigen Kosten (Lump Sum, Betrag wird in der Evaluierung festgelegt)</t>
  </si>
  <si>
    <t xml:space="preserve">Projektabhaengig (typ. 3-4 Jahre)</t>
  </si>
  <si>
    <t xml:space="preserve">Call geoeffnet 05.02.2026, Frist 12.05.2026, 17:00 Bruesseler Zeit - fuer 2026 abgelaufen. Naechster Call im EIC Work Programme 2027 zu erwarten. Ergebnis 5 Monate nach Frist, Grant Agreement nach ca. 8 Monaten.</t>
  </si>
  <si>
    <t xml:space="preserve">Antrag Teil B Abschnitte 1-3 (Excellence, Impact, Quality) max. 22 A4-Seiten. Einreichung ueber EU Funding &amp; Tenders Portal. Ausschliesslich zivile Anwendungen. Vorhaben im Anwendungsbereich Anhang I Euratom-Vertrag (Kernenergie) muessen ins Euratom-Programm. Antraege mit Bezug zur Weiterentwicklung europaeischer Kommunikationsnetze (5G, Post-5G) unterliegen Teilnahmebeschraenkungen.</t>
  </si>
  <si>
    <t xml:space="preserve">Einzelantraege sind im Open-Call NICHT zulaessig - das ist der haeufigste Ausschlussgrund. Bewertung durch mind. 3 EIC-Gutachter, Score = Durchschnitt. Gefoerderte Projekte koennen Booster-Grants bis 50.000 EUR erhalten und spaeter ueber Fast Track in den Accelerator - das ist der eigentliche strategische Wert.</t>
  </si>
  <si>
    <t xml:space="preserve">A - Primaerquelle (EIC Work Programme 2026)</t>
  </si>
  <si>
    <t xml:space="preserve">eic.ec.europa.eu/system/files/2025-11/EIC-Work-Programme-2026.pdf</t>
  </si>
  <si>
    <t xml:space="preserve">EIC Pathfinder Challenges 2026</t>
  </si>
  <si>
    <t xml:space="preserve">EU / EIC (EISMEA)</t>
  </si>
  <si>
    <t xml:space="preserve">Flexibel: kleinere Konsortien (mind. 2 foerderfaehige Entitaeten), Einzelantragsteller ODER groessere Konsortien.</t>
  </si>
  <si>
    <t xml:space="preserve">Start bei niedrigem TRL, Ziel TRL 3-4</t>
  </si>
  <si>
    <t xml:space="preserve">Kein starres Minimum - Einzelantragsteller ausdruecklich zugelassen, ABER: bei Einzelantraegen sind Mid-Caps und groessere Unternehmen NICHT zugelassen (nur KMU, Start-ups, Forschungseinrichtungen, natuerliche Personen). Empfohlen wird ein eigenes Arbeitspaket fuer Portfolio-Aktivitaeten mit mind. 10 Personenmonaten.</t>
  </si>
  <si>
    <t xml:space="preserve">Bis 4 Mio EUR; hoehere Betraege moeglich, wenn begruendet. Call-Budget 96 Mio EUR, etwa gleich auf die 3 Challenges verteilt.</t>
  </si>
  <si>
    <t xml:space="preserve">100 % der foerderfaehigen Kosten (Lump Sum)</t>
  </si>
  <si>
    <t xml:space="preserve">Projektabhaengig</t>
  </si>
  <si>
    <t xml:space="preserve">Frist 28.10.2026, 17:00 Bruesseler Zeit. Ergebnis ca. 5 Monate nach Frist, Grant Agreement ca. 8 Monate.</t>
  </si>
  <si>
    <t xml:space="preserve">Drei vorgegebene Challenges 2026: (II.2.1) Advanced Materials for Miniaturised Energy Harvesting Systems; (II.2.2) Biotechnology for Healthy Ageing; (II.2.3) DeepRAP - Deep Reasoning, Abstraction &amp; Planning towards trustworthy Cognitive AI Systems. Teil B Abschnitte 1-3 max. 30 A4-Seiten. Zweistufige Bewertung: Einzelbewertung durch Gutachter, dann Portfolio-Auswahl durch das EIC-Evaluierungskomitee.</t>
  </si>
  <si>
    <t xml:space="preserve">DeepRAP ist der einzige explizit auf KI zugeschnittene Pathfinder-Topf 2026 - entsprechend hoher Wettbewerb. Portfolio-Logik: die Auswahl erfolgt nicht rein nach Score, sondern nach Passung ins Challenge-Portfolio; ein sehr guter Score garantiert also keine Foerderung. Projekte muessen aktiv an gemeinsamer Challenge-Roadmap mit dem Programme Manager mitarbeiten.</t>
  </si>
  <si>
    <t xml:space="preserve">EIC Transition</t>
  </si>
  <si>
    <t xml:space="preserve">Einzelantragsteller (Start-up, KMU, Forschungseinrichtung/Universitaet inkl. Teams und Principal Investigators mit Spin-off-Absicht) ODER Konsortium.</t>
  </si>
  <si>
    <t xml:space="preserve">Von TRL 3 erreicht oder TRL 4 -&gt; Ziel TRL 5/6 (Validierung/Demonstration in anwendungsrelevanter Umgebung)</t>
  </si>
  <si>
    <t xml:space="preserve">Drei Varianten: (a) Mono-Beneficiary - Grossunternehmen (Nicht-KMU) sind als Einzelantragsteller ausgeschlossen; (b) kleines Konsortium aus 2 unabhaengigen Entitaeten aus 2 verschiedenen MS/assoziierten Laendern; (c) 3 bis max. 5 unabhaengige Entitaeten nach Standardregel. Mehr als 5 = unzulaessig.</t>
  </si>
  <si>
    <t xml:space="preserve">Mehr als 0,5 Mio EUR und weniger als 2,5 Mio EUR. Call-Budget 100 Mio EUR.</t>
  </si>
  <si>
    <t xml:space="preserve">1 bis 3 Jahre</t>
  </si>
  <si>
    <t xml:space="preserve">Frist 16.09.2026, 17:00 Bruesseler Zeit.</t>
  </si>
  <si>
    <t xml:space="preserve">Zwingend: die Ergebnisse muessen aus einem foerderfaehigen Vorprojekt stammen - EIC Pathfinder (inkl. H2020 FET-Open, FET-Proactive, FET Innovation Launchpad, FET Flagships), ERC Proof of Concept (H2020 oder Horizon Europe), RIAs aus H2020 Societal Challenges und Leadership in Industrial Technologies sowie Horizon Europe Saeule II, EDF- und PADR-Forschungsprojekte (nur bei ziviler Ausrichtung, Dual-use zulaessig) und (neu ab 2026) RIAs aus dem Bereich Forschungsinfrastrukturen in Horizon Europe/H2020. Ausserdem: das Ergebnis muss TRL 3 vollstaendig abgeschlossen haben und darf nicht ueber TRL 4 hinaus sein - andere TRL-Stufen sind nicht foerderfaehig. ZWEI Zeitfenster - beides harte Ausschlusskriterien: (a) LAUFENDES Vorprojekt - der Grant-Start muss mehr als 18 Monate vor dem Cut-off liegen; Ausnahme ERC Proof of Concept, dort genuegen mehr als 6 Monate. (b) ABGESCHLOSSENES Vorprojekt - das Ende darf weniger als 24 Monate vor dem Cut-off liegen. Ein gerade erst gestartetes Vorprojekt qualifiziert also NICHT. Grantnummer und Akronym des Vorprojekts sind im Antrag anzugeben. Man muss NICHT selbst am Vorprojekt beteiligt gewesen sein - dann ist aber ein Commitment Letter des Rechteinhabers zu FRAND-Zugang beizulegen. Ausschliesslich zivile Anwendungen. Der Weg zum Markt ist im Antrag festzulegen (Eigenverwertung, Spin-off, Lizenzierung an Dritte oder anderer Weg).</t>
  </si>
  <si>
    <t xml:space="preserve">Ohne foerderfaehiges Vorprojekt ist Transition schlicht nicht zugaenglich - das ist der zentrale Filter. Grants ueber Financial Support to Third Parties (z. B. ERA-NETs, EIT-KICs) zaehlen ausdruecklich NICHT als Vorprojekt. Pro foerderfaehigem ERC-PoC-/FET-Launchpad-Projekt ist nur ein Antrag moeglich. Coaching ist verpflichtend, sofern nicht gut begruendet abbedungen.</t>
  </si>
  <si>
    <t xml:space="preserve">EIC Accelerator Open</t>
  </si>
  <si>
    <t xml:space="preserve">EU / EIC (EISMEA) + EIC Fund</t>
  </si>
  <si>
    <t xml:space="preserve">Blended Finance: Zuschuss (Lump Sum) und/oder Eigenkapital</t>
  </si>
  <si>
    <t xml:space="preserve">Einzelnes KMU (inkl. Start-up/Spin-off) mit Sitz in EU-MS oder assoziiertem Land; ODER Small Mid-Cap bis 499 Beschaeftigte, aber NUR fuer 'investment only' bzw. in Ausnahmefaellen Blended Finance zur schnellen Skalierung; ODER natuerliche/juristische Personen, die ein KMU gruenden, ein bestehendes KMU in die EU verlagern oder im Namen eines KMU investieren wollen.</t>
  </si>
  <si>
    <t xml:space="preserve">Kernteschnologie muss mind. TRL 5 vollstaendig abgeschlossen haben (validiert in relevanter Umgebung). Zuschuss deckt TRL 6-8, Eigenkapital ab TRL 9.</t>
  </si>
  <si>
    <t xml:space="preserve">Konsortien sind NICHT zulaessig - ausschliesslich Einzelantragsteller.</t>
  </si>
  <si>
    <t xml:space="preserve">Zuschuss unter 2,5 Mio EUR (max. 2.499.999 EUR). Investment-Komponente 1 bis 10 Mio EUR. Gesamtbudget Accelerator 634 Mio EUR, davon 414 Mio EUR fuer Open; Investment-Komponente insgesamt 380 Mio EUR.</t>
  </si>
  <si>
    <t xml:space="preserve">Zuschusskomponente erstattet max. 70 % der foerderfaehigen Kosten. Die restlichen 30 % der zuschussfinanzierten Arbeitspakete muss das Unternehmen aus Eigenmitteln tragen.</t>
  </si>
  <si>
    <t xml:space="preserve">Innovationsaktivitaeten sollen i. d. R. in 24 Monaten abgeschlossen sein, in begruendeten Faellen laenger.</t>
  </si>
  <si>
    <t xml:space="preserve">Short Proposal jederzeit einreichbar, Batching jeden ersten Dienstag im Monat, 17:00 Bruesseler Zeit, Ergebnis in ca. 4-6 Wochen. Full-Proposal-Cut-offs 2026: 07.01., 04.03., 06.05., 08.07., 02.09., 04.11. Ergebnis ca. 8-9 Wochen nach Batching. Jury-Interviews 3x jaehrlich, Ergebnis 2-3 Wochen danach.</t>
  </si>
  <si>
    <t xml:space="preserve">Dreistufiger Prozess. Stufe 1 Short Proposal: 12-seitiges Formular, Pitchdeck max. 10 Slides (PDF), Videopitch max. 3 Minuten mit bis zu 3 Kernteammitgliedern; Feedback von 4 Gutachtern. Stufe 2 Full Proposal: max. 20 Seiten plus Pitchdeck, Video und Datenanhaenge zu Finanzdaten und Cap Table, IP-Strategie inkl. Freedom-to-Operate-Analyse, Implementierungsplan mit Meilensteinen und Lump-Sum-Budgettabelle; zusaetzlich In-Depth-Assessment durch einen Technologieexperten mit Online-Meeting. Stufe 3 Jury-Interview. Grant-only nur unter kumulativen Bedingungen und nur EINMAL pro Rechtsperson in der gesamten Laufzeit Horizon Europe 2021-2027, max. 2,5 Mio EUR.</t>
  </si>
  <si>
    <t xml:space="preserve">Harte Sperre: nach DREI erfolglosen Einreichungen desselben oder verbesserten Vorhabens durch dieselbe Rechtsperson - gleich auf welcher Stufe (Short oder Full) und in welcher Foerderform - ist kein weiterer Accelerator-Antrag unter Horizon Europe mehr moeglich. Gilt auch fuer Fast-Track- und Plug-in-Eintritte. Parallele Einreichungen zu Accelerator, STEP Scale Up und STEP Defence sind unzulaessig; bei Mehrfacheinreichung wird nur die zuletzt eingereichte bewertet. Gutachter erwarten Belege (Umsatz, Gesellschafter, zugesagte Investoren), dass die 30 % Eigenanteil und die spaetere Markteinfuehrung finanziert werden koennen. Dual-use-Antraege sind ab 09.07.2026 moeglich, erste Bewertung im Batch 02.09.2026.</t>
  </si>
  <si>
    <t xml:space="preserve">EIC Accelerator Challenges 2026</t>
  </si>
  <si>
    <t xml:space="preserve">Blended Finance: Zuschuss und/oder Eigenkapital</t>
  </si>
  <si>
    <t xml:space="preserve">Wie Accelerator Open (Einzelantragsteller KMU / Small Mid-Cap / natuerliche Personen).</t>
  </si>
  <si>
    <t xml:space="preserve">Wie Open: mind. TRL 5 abgeschlossen, Zuschuss TRL 6-8</t>
  </si>
  <si>
    <t xml:space="preserve">Keine Konsortien.</t>
  </si>
  <si>
    <t xml:space="preserve">Wie Open. Challenge-Budget 220 Mio EUR.</t>
  </si>
  <si>
    <t xml:space="preserve">Wie Open: Zuschuss max. 70 % der foerderfaehigen Kosten.</t>
  </si>
  <si>
    <t xml:space="preserve">i. d. R. 24 Monate</t>
  </si>
  <si>
    <t xml:space="preserve">Identische Cut-offs wie Open: 07.01., 04.03., 06.05., 08.07., 02.09., 04.11.2026</t>
  </si>
  <si>
    <t xml:space="preserve">Fuenf thematische Challenges 2026: (V.2.1) Advanced Materials for Renewable Energy and Energy Storage Systems; (V.2.2) Alternative Concepts and Key Enabling Technologies for Fusion Power Plants; (V.2.3) Biotech for Regenerating Agricultural Soils; (V.2.4) Boosting the European Critical Raw Materials value chain; (V.2.5) Deep Tech for Climate Adaptation.</t>
  </si>
  <si>
    <t xml:space="preserve">Wichtig fuer Ihr Profil: 2026 gibt es KEINE reine AI-/Software-Challenge im Accelerator. Reine KI-Vorhaben gehen ueber Accelerator Open. AI als Enabler innerhalb einer Challenge (z. B. Climate Adaptation, Critical Raw Materials) ist moeglich, muss aber inhaltlich auf das Challenge-Ziel einzahlen, nicht auf die Technologie.</t>
  </si>
  <si>
    <t xml:space="preserve">EIC STEP Scale Up</t>
  </si>
  <si>
    <t xml:space="preserve">EU / EIC Fund</t>
  </si>
  <si>
    <t xml:space="preserve">Nur Eigenkapital (kein Zuschuss)</t>
  </si>
  <si>
    <t xml:space="preserve">Einzelnes KMU oder Small Mid-Cap bis 499 Beschaeftigte mit Sitz in EU-MS oder assoziiertem Land. Eine Holdingstruktur ist zulaessig, muss aber ebenfalls in MS/AC sitzen. Auch Investoren koennen im Namen des Unternehmens einreichen, wenn eine vorherige Vereinbarung besteht.</t>
  </si>
  <si>
    <t xml:space="preserve">Skalierungsphase, marktreif</t>
  </si>
  <si>
    <t xml:space="preserve">Einzelantragsteller.</t>
  </si>
  <si>
    <t xml:space="preserve">10 bis 30 Mio EUR Eigenkapital. Call-Budget 300 Mio EUR fuer 2026 (fuer 2025-2027 auf 900 Mio EUR steigend).</t>
  </si>
  <si>
    <t xml:space="preserve">Reine Beteiligung, keine Quote. Ko-Investment erforderlich.</t>
  </si>
  <si>
    <t xml:space="preserve">n/a (Beteiligung)</t>
  </si>
  <si>
    <t xml:space="preserve">Einreichung jederzeit; Bewertung in Quartalsbatches: 11.02., 06.05., 09.09., 25.11.2026</t>
  </si>
  <si>
    <t xml:space="preserve">Kern-Huerde ist das Investoren-Pre-Commitment: Sie muessen eine Finanzierungsrunde von 50 bis 150 Mio EUR oder mehr anstreben, mindestens das 3- bis 5-fache des beantragten EIC-Betrags. Ein Qualified Investor muss ein Pre-Commitment ueber mindestens 20 % der Zielrunde abgeben, und dieser 20-%-Anteil muss zum Datum des Pre-Commitment-Letters vollstaendig uninvestiert sein. Sektoren nach STEP-Verordnung: digitale Technologien, saubere und ressourceneffiziente Technologien inkl. Net-Zero, Biotechnologie. Antrag: vollstaendiger Businessplan inkl. Eigentums- und Finanzstruktur sowie Begruendung der STEP-Ziele.</t>
  </si>
  <si>
    <t xml:space="preserve">Quasi-Eigenkapital zaehlt NICHT auf die 20-%-Schwelle. Syndizierte Pre-Commitments, bei denen kein einzelner Investor allein die 20 % erreicht, sind ausdruecklich unzulaessig - ein Club-Deal aus fuenf kleinen Tickets qualifiziert also nicht. Wer weniger als 10 Mio EUR braucht, muss in den Accelerator. Keine parallelen Einreichungen zu Accelerator/STEP Defence. Bei Erreichen der Schwellenwerte gibt es den Sovereignty (STEP) Seal auch ohne Foerderung.</t>
  </si>
  <si>
    <t xml:space="preserve">EIC STEP Defence Scale Up</t>
  </si>
  <si>
    <t xml:space="preserve">Nur Eigenkapital</t>
  </si>
  <si>
    <t xml:space="preserve">Einzelne Start-ups, KMU, Small Mid-Caps; Investoren im Namen foerderfaehiger Unternehmen.</t>
  </si>
  <si>
    <t xml:space="preserve">Skalierungsphase</t>
  </si>
  <si>
    <t xml:space="preserve">10 bis 30 Mio EUR Direktbeteiligung (Untergrenze wie bei STEP Scale Up). Call-Budget 100 Mio EUR.</t>
  </si>
  <si>
    <t xml:space="preserve">Reine Beteiligung.</t>
  </si>
  <si>
    <t xml:space="preserve">n/a</t>
  </si>
  <si>
    <t xml:space="preserve">Frist 28.10.2026</t>
  </si>
  <si>
    <t xml:space="preserve">Erstes EU-Programm, das direkt in Verteidigungsunternehmen investiert. Kritische Verteidigungstechnologien im Sinne der Verordnung (EU) 2024/795 (STEP), erweitert durch Verordnung (EU) 2025/2653 (ReArm Europe).</t>
  </si>
  <si>
    <t xml:space="preserve">Nur relevant, wenn das Vorhaben tatsaechlich unter kritische Verteidigungstechnologien faellt. Alle uebrigen EIC-Instrumente (Pathfinder, Transition, AIC) bleiben strikt zivil. Keine parallelen Einreichungen zu Accelerator/STEP Scale Up.</t>
  </si>
  <si>
    <t xml:space="preserve">EIC Advanced Innovation Challenges (AIC, Pilot)</t>
  </si>
  <si>
    <t xml:space="preserve">Zuschuss, Lump Sum, zweistufig</t>
  </si>
  <si>
    <t xml:space="preserve">Stage 1: Einzelantragsteller (Start-up, KMU oder forschende Einrichtung inkl. Teams, PIs, Erfinder). Grossunternehmen sind als Einzelantragsteller ausgeschlossen. Stage 2 (2027): zusaetzlich kleine Konsortien mit max. 3 Entitaeten.</t>
  </si>
  <si>
    <t xml:space="preserve">Stage 1 startet bei TRL 4; Stage 2 zielt auf TRL 6/7</t>
  </si>
  <si>
    <t xml:space="preserve">Stage 1 nur Mono-Beneficiary. Stage 2: Mono-Beneficiary, 2 unabhaengige Entitaeten aus 2 Laendern oder max. 3 Entitaeten. Mehr als 3 = unzulaessig.</t>
  </si>
  <si>
    <t xml:space="preserve">Stage 1: 300.000 EUR Lump Sum (Budget 6 Mio EUR). Stage 2: bis 2,5 Mio EUR (Budget 25 Mio EUR aus dem WP 2027).</t>
  </si>
  <si>
    <t xml:space="preserve">100 % der foerderfaehigen Kosten in beiden Stufen</t>
  </si>
  <si>
    <t xml:space="preserve">Stage 1 max. 9 Monate; Stage 2 max. 2,5 Jahre</t>
  </si>
  <si>
    <t xml:space="preserve">Stage 1: Call oeffnete 15.11.2025, Frist 26.02.2026 - ABGELAUFEN. Projektstart der Stage-1-Vorhaben spaetestens 01.10.2026. Stage 2 (restricted): indikative Frist 18.06.2027.</t>
  </si>
  <si>
    <t xml:space="preserve">Neues Pilotinstrument 2026, angelehnt an das US-ARPA-Modell. Zwei Challenges: (IV.1) Accelerating Physical AI - Embodied Intelligence for the Next Frontier of AI-Powered Robotics; (IV.2) Translating Disruptive New Approach Methodologies (NAMs) into Practice. Stage 1 Antrag max. 11 A4-Seiten, Bewertung durch Komitee unter Vorsitz eines EIC Programme Managers, Portfolio-Auswahl. Stage 2 wird per Live-Pitch vor einer Expertenjury bewertet. Mind. 1 Personenmonat fuer Portfolio-Management einplanen.</t>
  </si>
  <si>
    <t xml:space="preserve">Stage 2 in 2027 ist eine RESTRICTED CALL - ausschliesslich offen fuer Teilnehmer aus Stage 1 (oder Antragsteller, die nachweisen, dass sie die Rechte an der Stage-1-Technologie halten). Wer Stage 1 verpasst hat, kommt 2027 nicht mehr rein. Fuer 'Physical AI' also erst wieder ein moeglicher Neuaufsatz im EIC Work Programme 2027 beobachten. Ausschliesslich zivile Anwendungen.</t>
  </si>
  <si>
    <t xml:space="preserve">Horizon Europe Cluster 4 - Digital, Industry &amp; Space</t>
  </si>
  <si>
    <t xml:space="preserve">EU / Europaeische Kommission (HaDEA)</t>
  </si>
  <si>
    <t xml:space="preserve">Zuschuss (RIA / IA / CSA)</t>
  </si>
  <si>
    <t xml:space="preserve">Konsortien aus Unternehmen jeder Groesse, Hochschulen, Forschungseinrichtungen, oeffentlichen Stellen.</t>
  </si>
  <si>
    <t xml:space="preserve">RIA typ. TRL 2-5, IA typ. TRL 5-8 (topic-abhaengig)</t>
  </si>
  <si>
    <t xml:space="preserve">Standard-Horizon-Regel: mind. 3 unabhaengige Rechtspersonen, davon mind. 1 in einem EU-Mitgliedstaat und 2 weitere in unterschiedlichen MS/assoziierten Laendern. Abweichungen je Topic moeglich.</t>
  </si>
  <si>
    <t xml:space="preserve">Arbeitsprogramm 2026-2027 gesamt rund 1,5 Mrd EUR, davon rund 678,3 Mio EUR fuer digitale Destinationen und Topics. Der EU-Beitrag je Projekt steht ausschliesslich im jeweiligen Topic - eine programmweite Spanne laesst sich nicht serioes angeben.</t>
  </si>
  <si>
    <t xml:space="preserve">RIA 100 %; IA 70 % fuer gewinnorientierte Einrichtungen, 100 % fuer Non-Profit; CSA 100 %.</t>
  </si>
  <si>
    <t xml:space="preserve">Typisch 3-4 Jahre</t>
  </si>
  <si>
    <t xml:space="preserve">Arbeitsprogramm 2026-2027 verabschiedet. Oeffnungstermine Januar 2026 bis Maerz 2027, Fristen April 2026 bis September 2027. Zahl der Calls: 20 in 2026, 13 in 2027.</t>
  </si>
  <si>
    <t xml:space="preserve">Themen mit KI-Bezug: vertrauenswuerdige KI und KI in der Wissenschaft, Datentechnologien und Cloud-Edge-Infrastrukturen, Open Internet Stack / Web 4.0 / Virtual Worlds (XR), Robotik, digitale Zwillinge und KI-gestuetzte Industriesysteme. Einreichung ueber EU Funding &amp; Tenders Portal. Jedes Topic hat eigene 'Expected Outcomes' und 'Scope' - diese sind bindend.</t>
  </si>
  <si>
    <t xml:space="preserve">Sehr hoher Aufwand fuer Konsortialbildung; realistisch nur mit erfahrenem Koordinator oder als Partner in einem bestehenden Konsortium. Fuer ein einzelnes Start-up nur sinnvoll als Partner, nicht als Koordinator. Konkrete Topic-Fristen und Budgets muessen im Portal pro Topic geprueft werden - die Werte hier sind Programmebene, nicht Topic-Ebene.</t>
  </si>
  <si>
    <t xml:space="preserve">B - Offizielle Website / C fuer Budgetaufteilung</t>
  </si>
  <si>
    <t xml:space="preserve">ec.europa.eu Funding &amp; Tenders Portal | ideal-ist.eu | ffg.at/en/europa/heu/cluster4</t>
  </si>
  <si>
    <t xml:space="preserve">Digital Europe Programme (DIGITAL)</t>
  </si>
  <si>
    <t xml:space="preserve">Zuschuss (Simple Grant / SME Support Action / CSA)</t>
  </si>
  <si>
    <t xml:space="preserve">Unternehmen jeder Groesse inkl. Start-ups und KMU, oeffentliche Verwaltungen, Forschungseinrichtungen. Zugang auch ueber European Digital Innovation Hubs (EDIH).</t>
  </si>
  <si>
    <t xml:space="preserve">Kein Forschungsprogramm - Fokus auf Kapazitaetsaufbau und breite Einfuehrung reifer Technologien (hoehere TRL).</t>
  </si>
  <si>
    <t xml:space="preserve">Topic-abhaengig. DIGITAL-Standard ist eine Mindestzahl von Antragstellern aus mehreren Laendern (haeufig 3 aus 3); einzelne Topics lassen Einzelantragsteller zu. Die konkrete Anforderung steht im jeweiligen Call-Fiche - eine pauschale Zahl gibt es nicht.</t>
  </si>
  <si>
    <t xml:space="preserve">Topic-abhaengig. Gesamtbudget 2021-2027 ueber 8,1 Mrd EUR. Beispiele 2026: 63,2 Mio EUR fuer KI-Innovation in Gesundheit und Online-Sicherheit; 204 Mio EUR fuer Digitalisierung von Unternehmen und digitale Kompetenzen.</t>
  </si>
  <si>
    <t xml:space="preserve">Standard 50 % der foerderfaehigen Kosten; 75 % fuer KMU bei KMU-Support-Topics; 100 % bei Coordination and Support Actions.</t>
  </si>
  <si>
    <t xml:space="preserve">Typisch 2-3 Jahre</t>
  </si>
  <si>
    <t xml:space="preserve">Laufende Calls 2026 mit Fristen teils bis Oktober 2026 - Topic-genau im Funding &amp; Tenders Portal pruefen.</t>
  </si>
  <si>
    <t xml:space="preserve">Schwerpunkte: Supercomputing, kuenstliche Intelligenz, Cybersicherheit, fortgeschrittene digitale Kompetenzen, breite Einfuehrung digitaler Technologien, Halbleiter. Teilnahmeberechtigt sind EU-Mitgliedstaaten, EWR-EFTA-Staaten (Island, Norwegen, Liechtenstein) und mit DIGITAL assoziierte Laender.</t>
  </si>
  <si>
    <t xml:space="preserve">Nur 50 % Foerderquote im Standardfall - die andere Haelfte muss aus Eigenmitteln, nationaler Ko-Finanzierung oder In-Kind kommen. Fuer ein kapitalschwaches Start-up ist das oft der eigentliche Blocker. Auszahlung erfahrungsgemaess langsam. Der leichtere Einstieg fuer KMU laeuft ueber die EDIH als Dienstleistungsempfaenger, nicht als Antragsteller.</t>
  </si>
  <si>
    <t xml:space="preserve">B - Offizielle Website / C fuer Quoten</t>
  </si>
  <si>
    <t xml:space="preserve">digital-strategy.ec.europa.eu/en/activities/digital-programme</t>
  </si>
  <si>
    <t xml:space="preserve">EuroHPC AI Factories - Zugang zu Rechenkapazitaet</t>
  </si>
  <si>
    <t xml:space="preserve">EU / EuroHPC Joint Undertaking</t>
  </si>
  <si>
    <t xml:space="preserve">Kein Geld, sondern kostenlose Rechenzeit (Sachleistung)</t>
  </si>
  <si>
    <t xml:space="preserve">AI-KMU und Start-ups aus Europa, Industrie, Wissenschaft.</t>
  </si>
  <si>
    <t xml:space="preserve">Alle Reifegrade - auch reine Experimente.</t>
  </si>
  <si>
    <t xml:space="preserve">Kein Konsortium noetig: ein einzelnes Start-up kann allein beantragen.</t>
  </si>
  <si>
    <t xml:space="preserve">Playground: kleinere Kontingente, Zuteilung fuer 1, 2 oder 3 Monate. Fast Lane: bis 50.000 GPU-Stunden fuer max. 3 Monate. Large Scale Access: ueber 50.000 GPU-Stunden.</t>
  </si>
  <si>
    <t xml:space="preserve">Kostenfrei fuer KMU und Start-ups zu Innovationszwecken.</t>
  </si>
  <si>
    <t xml:space="preserve">1 bis 3 Monate je Zuteilung, verlaengerbar ueber Folgeantraege</t>
  </si>
  <si>
    <t xml:space="preserve">Laufend offen (First-come-first-served). Playground-Zusage innerhalb von ca. 2 Arbeitstagen; Fast Lane in wenigen Arbeitstagen.</t>
  </si>
  <si>
    <t xml:space="preserve">Kurzer Antrag mit Begruendung der Relevanz; Pruefung auf Foerderfaehigkeit und technische Machbarkeit. Antrag ueber access.eurohpc-ju.europa.eu. In der EU bestehen 19 AI Factories und 13 AI Factory Antennas.</t>
  </si>
  <si>
    <t xml:space="preserve">Kein Cash-Zufluss - aber fuer ein AI-Startup oft der schnellste realisierbare Wert ueberhaupt: GPU-Kosten sind meist der groesste Posten, und hier faellt der Antragsaufwand auf Stunden statt Monate. Sollte in JEDEM Fall vor den grossen Zuschussantraegen gemacht werden. Achtung: sowohl Playground als auch Fast Lane waren zwischenzeitlich temporaer geschlossen - aktuellen Status je Zugangsmodus vor dem Antrag pruefen.</t>
  </si>
  <si>
    <t xml:space="preserve">B - Offizielle Website (EuroHPC JU)</t>
  </si>
  <si>
    <t xml:space="preserve">eurohpc-ju.europa.eu/ai-factories_en | access.eurohpc-ju.europa.eu</t>
  </si>
  <si>
    <t xml:space="preserve">Eureka Cluster ITEA 4 (Software &amp; Systems)</t>
  </si>
  <si>
    <t xml:space="preserve">Eureka-Cluster; Foerderung national (DE: BMFTR/DLR-PT)</t>
  </si>
  <si>
    <t xml:space="preserve">Industrie, KMU, RTOs, Hochschulen - Konsortien.</t>
  </si>
  <si>
    <t xml:space="preserve">Angewandte Forschung bis Vorwettbewerb, marktnahe Software-Innovation.</t>
  </si>
  <si>
    <t xml:space="preserve">Internationales Konsortium; genaue Mindestanforderungen im jeweiligen Call-Dokument.</t>
  </si>
  <si>
    <t xml:space="preserve">National geregelt. ITEA selbst veroeffentlicht keine Projektvolumina - Groessenordnung vorab mit dem nationalen Projekttraeger klaeren.</t>
  </si>
  <si>
    <t xml:space="preserve">National geregelt.</t>
  </si>
  <si>
    <t xml:space="preserve">ITEA 4 Call 2026: Project Outline (PO) bis 02.11.2026, 17:00 CET; Full Project Proposal (FPP) bis 11.02.2027, 17:00 CET - jeweils ueber die ITEA-Website.</t>
  </si>
  <si>
    <t xml:space="preserve">Cluster fuer Software-Innovation; treibt explizit KI, Big Data, Simulation und High-Performance Computing in konkrete Geschaeftsanwendungen. Zweistufiges Verfahren PO -&gt; FPP.</t>
  </si>
  <si>
    <t xml:space="preserve">Zweistufig und langlaufend: von PO im November 2026 bis Projektstart vergehen leicht 12 Monate. Nationale Foerderfaehigkeit muss VORAB mit dem deutschen Projekttraeger geklaert werden - das internationale Label allein bringt kein Geld. Fuer Deutschland ist zu pruefen, ob die nationale Kofinanzierung angesichts der aktuellen Haushaltslage gesichert ist.</t>
  </si>
  <si>
    <t xml:space="preserve">B - Offizielle Website (itea4.org)</t>
  </si>
  <si>
    <t xml:space="preserve">itea4.org/current-call.html</t>
  </si>
  <si>
    <t xml:space="preserve">Eureka Cluster Xecs (Electronic Components &amp; Systems)</t>
  </si>
  <si>
    <t xml:space="preserve">Eureka-Cluster; Foerderung national</t>
  </si>
  <si>
    <t xml:space="preserve">Industrie, KMU, RTOs, Hochschulen - internationale Konsortien.</t>
  </si>
  <si>
    <t xml:space="preserve">Angewandte Forschung bis Demonstrator.</t>
  </si>
  <si>
    <t xml:space="preserve">Internationales Konsortium; Details im Call-Dokument.</t>
  </si>
  <si>
    <t xml:space="preserve">Call geoeffnet 23.06.2026. Project Outline bis 21.01.2027. Matchmaking-Event 6./7. Oktober 2026 in Wien.</t>
  </si>
  <si>
    <t xml:space="preserve">Fokus auf elektronische Komponenten und Systeme (ECS). Antragsteller sollen die nationalen Foerderstellen vorab kontaktieren.</t>
  </si>
  <si>
    <t xml:space="preserve">K.-o.-Kriterium fuer Sie: DEUTSCHLAND IST IN CALL 6 KEIN TEILNEHMENDES LAND. Auf der offiziellen Call-Seite ist keine deutsche Foerderstelle mit Foerdermodalitaeten gelistet - ein deutscher Partner kann also nur selbstfinanziert mitmachen. Ausserdem nur bei Hardware-/Embedded-Bezug relevant; fuer reine Software-/AI-Vorhaben ist ITEA 4 der passende Cluster.</t>
  </si>
  <si>
    <t xml:space="preserve">B - Offizielle Call-Seite (Laenderliste und Fristen geprueft)</t>
  </si>
  <si>
    <t xml:space="preserve">eurekanetwork.org/programmes-and-calls/eureka-clusters/xecs-call-6-2026/</t>
  </si>
  <si>
    <t xml:space="preserve">Eureka Globalstars / Network Projects</t>
  </si>
  <si>
    <t xml:space="preserve">Eureka-Netzwerk; Foerderung national</t>
  </si>
  <si>
    <t xml:space="preserve">KMU, Grossunternehmen, Hochschulen, Forschungseinrichtungen, Non-Profits.</t>
  </si>
  <si>
    <t xml:space="preserve">Bottom-up, keine TRL-Vorgabe.</t>
  </si>
  <si>
    <t xml:space="preserve">Mind. 2 voneinander unabhaengige Entitaeten; mind. 1 aus einem am Call teilnehmenden Eureka-Land und mind. 1 weitere unabhaengige aus dem jeweiligen Globalstars-Partnerland.</t>
  </si>
  <si>
    <t xml:space="preserve">Call-abhaengig</t>
  </si>
  <si>
    <t xml:space="preserve">Rollierende bilaterale Calls. ACHTUNG bei der Auswahl: der oft zuerst sichtbare Canada Call 7 (Frist 27.08.2026) laeuft unter Network Projects und listet als teilnehmendes Land nur Kanada - fuer deutsche Partner ohne eigene nationale Foerderung wertlos. Aktuelle Calls und teilnehmende Laender einzeln unter eurekanetwork.org pruefen.</t>
  </si>
  <si>
    <t xml:space="preserve">Projekt muss auf Forschung/Entwicklung eines Produkts, Prozesses oder einer Dienstleistung gerichtet sein und ausschliesslich zivile, nicht-militaerische Anwendungen verfolgen. Kein einzelnes Unternehmen und kein einzelnes Land darf mehr als 70 % des Projektbudgets tragen.</t>
  </si>
  <si>
    <t xml:space="preserve">Der Weg fuer Kooperationen ausserhalb Europas (Kanada, Japan, Suedkorea, Singapur, Suedafrika u. a.). Deutschland nimmt nicht an jedem Globalstars-Call teil - die deutsche Beteiligung muss pro Call einzeln geprueft werden. Bei ZIM-Antragsstopp sind Antraege mit internationalen Partnern in offenen bi-/multilateralen Calls ausdruecklich ausgenommen - das macht diesen Weg 2026 fuer deutsche KMU besonders interessant.</t>
  </si>
  <si>
    <t xml:space="preserve">B - Offizielle Website (Eureka)</t>
  </si>
  <si>
    <t xml:space="preserve">eurekanetwork.org/programmes-and-calls/globalstars/</t>
  </si>
  <si>
    <t xml:space="preserve">European Defence Fund (EDF) / EUDIS</t>
  </si>
  <si>
    <t xml:space="preserve">EU / Europaeische Kommission (DG DEFIS)</t>
  </si>
  <si>
    <t xml:space="preserve">Zuschuss</t>
  </si>
  <si>
    <t xml:space="preserve">EUDIS zielt gezielt auf KMU, Start-ups und andere kleine Akteure, die neu im Verteidigungsbereich sind.</t>
  </si>
  <si>
    <t xml:space="preserve">Research Actions: niedrigere TRL. Development Actions: hoehere TRL.</t>
  </si>
  <si>
    <t xml:space="preserve">EDF-Regelfall: Konsortien aus mehreren Mitgliedstaaten. EUDIS enthaelt spezielle KMU-Calls mit niedrigeren Einstiegshuerden.</t>
  </si>
  <si>
    <t xml:space="preserve">Research Actions bis 4 Mio EUR, Development Actions bis 6 Mio EUR pro Projekt. EUDIS-Massnahmen machen ca. 23 % des EDF-Budgets 2026 aus (rund 231 Mio EUR).</t>
  </si>
  <si>
    <t xml:space="preserve">Research Actions (fuer KMU und Forschungseinrichtungen) 100 %. Development Actions abweichend - im Call-Dokument pruefen.</t>
  </si>
  <si>
    <t xml:space="preserve">1 bis 4 Jahre</t>
  </si>
  <si>
    <t xml:space="preserve">EDF-Calls 2026 schliessen am 29.09.2026, 17:00 Bruesseler Zeit.</t>
  </si>
  <si>
    <t xml:space="preserve">Zusaetzlich zu Zuschuessen gibt es Business Coaching und einen Business Accelerator fuer europaeische Verteidigungs-Start-ups. Massgeblich ist das EDF Work Programme 2026 im Funding &amp; Tenders Portal.</t>
  </si>
  <si>
    <t xml:space="preserve">Verteidigungsbezug ist zwingend - das ist eine strategische Positionierungsentscheidung, kein Nebenprojekt: sie beeinflusst Investorenkreis, Kundenstruktur und Exportkontrolle dauerhaft. Beachten Sie ausserdem: Eurostars, EIC Pathfinder, Transition und AIC sind strikt zivil, ein paralleler Verteidigungszweig kann dort Fragen aufwerfen.</t>
  </si>
  <si>
    <t xml:space="preserve">C - Sekundaerquelle, vor Antrag verifizieren</t>
  </si>
  <si>
    <t xml:space="preserve">eudis.europa.eu/eudis-tracks/sme-calls_en</t>
  </si>
  <si>
    <t xml:space="preserve">EIT Digital - Open Innovation Factory</t>
  </si>
  <si>
    <t xml:space="preserve">EIT (European Institute of Innovation &amp; Technology), KIC EIT Digital</t>
  </si>
  <si>
    <t xml:space="preserve">KMU, Grossunternehmen, Forschungsorganisationen im Konsortium.</t>
  </si>
  <si>
    <t xml:space="preserve">Marktnahe Umsetzung digitaler Technologien.</t>
  </si>
  <si>
    <t xml:space="preserve">Konsortium aus mind. 2 Partnern aus mind. 2 verschiedenen Laendern.</t>
  </si>
  <si>
    <t xml:space="preserve">Bis 400.000 EUR pro Projekt.</t>
  </si>
  <si>
    <t xml:space="preserve">Nicht verifiziert - im Call-Dokument pruefen.</t>
  </si>
  <si>
    <t xml:space="preserve">Typisch 1 Jahr</t>
  </si>
  <si>
    <t xml:space="preserve">Frist der Ausschreibung 2026 laut der zitierten Sekundaerquelle 15.05.2026 - abgelaufen. Naechste Runde ueber eitdigital.eu verfolgen.</t>
  </si>
  <si>
    <t xml:space="preserve">Foerdert kollaborative Innovationsprojekte zur digitalen Transformation Europas - KI, Daten, Cybersicherheit. Zugang zum EIT-Digital-Netzwerk und Accelerator-Diensten ist oft wertvoller als der Zuschussbetrag selbst.</t>
  </si>
  <si>
    <t xml:space="preserve">Alle Angaben stammen aus einer aggregierten Sekundaerquelle und wurden NICHT an der offiziellen EIT-Digital-Website verifiziert. Vor jeder Planung direkt bei EIT Digital pruefen. Teilweise ist eine Mitgliedschaft im EIT-Digital-Partnernetzwerk Voraussetzung.</t>
  </si>
  <si>
    <t xml:space="preserve">eitdigital.eu (offizielle Seite pruefen); Angabe aus grantedai.com</t>
  </si>
  <si>
    <t xml:space="preserve">EU Innovation Fund (ETS-finanziert)</t>
  </si>
  <si>
    <t xml:space="preserve">EU / CINEA</t>
  </si>
  <si>
    <t xml:space="preserve">Zuschuss (CAPEX-orientiert) und Auktionen</t>
  </si>
  <si>
    <t xml:space="preserve">Unternehmen jeder Groesse mit Dekarbonisierungs-/Cleantech-Vorhaben.</t>
  </si>
  <si>
    <t xml:space="preserve">Hoher Reifegrad - Demonstration und erstmalige kommerzielle Anwendung, nicht Grundlagenforschung.</t>
  </si>
  <si>
    <t xml:space="preserve">Einzelantraege moeglich; Konsortien ebenfalls.</t>
  </si>
  <si>
    <t xml:space="preserve">Sehr grosse Volumina. Ausschreibungsrunde mit insgesamt 5,2 Mrd EUR: Net-Zero-Technologies-Call 2,9 Mrd EUR, dritte Wasserstoff-Auktion 1,3 Mrd EUR, erste Auktion zur Dekarbonisierung industrieller Prozesswaerme 1 Mrd EUR.</t>
  </si>
  <si>
    <t xml:space="preserve">CAPEX-bezogen, projektspezifisch.</t>
  </si>
  <si>
    <t xml:space="preserve">Mehrjaehrig</t>
  </si>
  <si>
    <t xml:space="preserve">Zwei verschiedene Fristen, keine gemeinsame: Net-Zero-Technologies-Zuschusscall bis 23.04.2026, 17:00 CET; die beiden Auktionen (Wasserstoff, industrielle Prozesswaerme) liefen bereits am 19.02.2026 aus. Beide abgelaufen - naechste Runde beobachten.</t>
  </si>
  <si>
    <t xml:space="preserve">Finanziert aus Erloesen des EU-Emissionshandels; geschaetztes Gesamtvolumen rund 40 Mrd EUR zwischen 2020 und 2030. Der Net-Zero-Technologies-Call deckt Dekarbonisierungsprojekte in Gross-, Mittel- und Kleinformat, Cleantech-Fertigung und Pilotprojekte ab.</t>
  </si>
  <si>
    <t xml:space="preserve">Nur relevant, wenn ein belastbarer, quantifizierbarer Treibhausgas-Vermeidungsbeitrag nachgewiesen werden kann. Fuer ein reines Software-/AI-Vorhaben praktisch nicht zugaenglich - es sei denn, die KI ist integraler Bestandteil einer physischen Dekarbonisierungsanlage.</t>
  </si>
  <si>
    <t xml:space="preserve">B - Offizielle Website (CINEA) / C fuer Detailzahlen</t>
  </si>
  <si>
    <t xml:space="preserve">cinea.ec.europa.eu/programmes/innovation-fund_en</t>
  </si>
  <si>
    <t xml:space="preserve">EIB Venture Debt / InvestEU / TechEU</t>
  </si>
  <si>
    <t xml:space="preserve">Europaeische Investitionsbank-Gruppe (EIB/EIF)</t>
  </si>
  <si>
    <t xml:space="preserve">Fremdkapital (Venture Debt), Garantien, Fonds-Beteiligungen</t>
  </si>
  <si>
    <t xml:space="preserve">Innovative Scale-ups mit belastbarer Finanzierungshistorie; ueber Fonds auch mittelbar fruehere Phasen.</t>
  </si>
  <si>
    <t xml:space="preserve">Skalierungsphase, i. d. R. mit Umsatz.</t>
  </si>
  <si>
    <t xml:space="preserve">Einzelunternehmen.</t>
  </si>
  <si>
    <t xml:space="preserve">Venture Debt typischerweise 10 bis 50 Mio EUR; bei Bewertung ueber 500 Mio EUR auch mehr als 50 Mio EUR.</t>
  </si>
  <si>
    <t xml:space="preserve">Marktkonditionen (Darlehen), keine Foerderquote.</t>
  </si>
  <si>
    <t xml:space="preserve">Mehrjaehrige Laufzeiten</t>
  </si>
  <si>
    <t xml:space="preserve">Laufend, kein Call-Verfahren - direkter Kontakt zur EIB.</t>
  </si>
  <si>
    <t xml:space="preserve">Foerderfaehige Innovationsfelder: Life Science und Biotech, Deep Tech und Digital, Cleantech. Ueber ETCI 2.0 werden europaeische Mega-Fonds und erstmals auch mittelgrosse Wachstumsfonds ab 300 Mio EUR unterstuetzt.</t>
  </si>
  <si>
    <t xml:space="preserve">Kein Zuschuss - das ist rueckzahlbares Kapital mit Zins und meist Warrants; die Kapitalkosten sind real. Die Mindesttickets von 10 Mio EUR liegen weit oberhalb dessen, was ein fruehphasiges Start-up bedienen kann. Realistisch erst ab Series B/C. Fuer Ihre etablierten Mittelstandsfirmen ggf. eher ueber die klassische EIB-Mittelstandsfinanzierung via Hausbank.</t>
  </si>
  <si>
    <t xml:space="preserve">B - Offizielle Website (EIB) / C fuer Detailzahlen</t>
  </si>
  <si>
    <t xml:space="preserve">eib.org/en/products/equity/venture-debt/index</t>
  </si>
  <si>
    <t xml:space="preserve">Scaleup Europe Fund</t>
  </si>
  <si>
    <t xml:space="preserve">EU / EIC Fund (neues Compartment)</t>
  </si>
  <si>
    <t xml:space="preserve">Eigenkapital ueber Fondsstruktur</t>
  </si>
  <si>
    <t xml:space="preserve">Strategische Technologieunternehmen in Scale-up- und Wachstumsphase.</t>
  </si>
  <si>
    <t xml:space="preserve">Wachstumsphase.</t>
  </si>
  <si>
    <t xml:space="preserve">Noch nicht spezifiziert - im EIC Work Programme 2026 nur als Beitrag angekuendigt.</t>
  </si>
  <si>
    <t xml:space="preserve">Noch nicht ausgeschrieben - Aufbau im Rahmen des EIC Work Programme 2026 angekuendigt.</t>
  </si>
  <si>
    <t xml:space="preserve">Wird als eigenes Compartment des EIC Fund errichtet, um private Investoren fuer groessere Scale-up- und Wachstumsinvestitionen in strategische Technologieunternehmen zu gewinnen.</t>
  </si>
  <si>
    <t xml:space="preserve">Zum Recherchezeitpunkt existieren keine Antragsmodalitaeten. Nur als Beobachtungsposten fuer 2027 relevant - hier sollte man nicht planen, sondern nur den Newsletter abonnieren.</t>
  </si>
  <si>
    <t xml:space="preserve">A - Primaerquelle (EIC Work Programme 2026), aber noch ohne Umsetzungsdetails</t>
  </si>
  <si>
    <t xml:space="preserve">EIC Seal of Excellence / Sovereignty (STEP) Seal</t>
  </si>
  <si>
    <t xml:space="preserve">EU / EIC - Qualitaetslabel, kein eigener Geldtopf</t>
  </si>
  <si>
    <t xml:space="preserve">Label (oeffnet nationale/regionale Toepfe)</t>
  </si>
  <si>
    <t xml:space="preserve">Antragsteller in EIC Accelerator und EIC STEP Scale Up, die die Bewertungsschwellen erreichen, aber mangels Budget nicht gefoerdert werden.</t>
  </si>
  <si>
    <t xml:space="preserve">Wie das jeweilige Ursprungsprogramm.</t>
  </si>
  <si>
    <t xml:space="preserve">Kein eigener Betrag.</t>
  </si>
  <si>
    <t xml:space="preserve">Abhaengig vom nachgelagerten nationalen/regionalen Programm.</t>
  </si>
  <si>
    <t xml:space="preserve">Wird automatisch mit dem Bewertungsergebnis vergeben.</t>
  </si>
  <si>
    <t xml:space="preserve">Mitgliedstaaten koennen Budget aus EFRE-Programmen zu Horizon Europe transferieren, um EIC Seals of Excellence und EIC STEP Seals zu finanzieren. Dann foerdert die Agentur die Zuschusskomponente und der EIC Fund die Investmentkomponente direkt. Beschraenkt ein Mitgliedstaat den Transfer auf Zuschuesse, gibt es nur 'grant only' - auch wenn urspruenglich fuer Blended Finance bewertet.</t>
  </si>
  <si>
    <t xml:space="preserve">Ein Seal ist kein Geld, sondern ein Tuerklopfer. Ob er in Deutschland tatsaechlich Mittel ausloest, haengt vom jeweiligen Bundesland und dessen EFRE-Programm ab und ist regional sehr unterschiedlich - vorab beim Land klaeren, sonst ist der Seal ein reiner Marketing-Titel.</t>
  </si>
  <si>
    <t xml:space="preserve">ERC Proof of Concept</t>
  </si>
  <si>
    <t xml:space="preserve">EU / European Research Council (ERCEA)</t>
  </si>
  <si>
    <t xml:space="preserve">Zuschuss, Pauschale</t>
  </si>
  <si>
    <t xml:space="preserve">Ausschliesslich bisherige oder laufende ERC-Grantees (Principal Investigators). Kein offener Wettbewerb.</t>
  </si>
  <si>
    <t xml:space="preserve">Verwertungspotenzial aus einem laufenden oder abgeschlossenen ERC-Projekt.</t>
  </si>
  <si>
    <t xml:space="preserve">Einzelantrag ueber die Gasteinrichtung des PI.</t>
  </si>
  <si>
    <t xml:space="preserve">150.000 EUR Pauschale.</t>
  </si>
  <si>
    <t xml:space="preserve">100 %</t>
  </si>
  <si>
    <t xml:space="preserve">Typisch 18 Monate</t>
  </si>
  <si>
    <t xml:space="preserve">Mehrere Cut-offs pro Jahr - aktuelle Termine im EU Funding &amp; Tenders Portal.</t>
  </si>
  <si>
    <t xml:space="preserve">Nur zugaenglich, wenn ein ERC-Grant vorliegt. Aufgenommen, weil ERC PoC eines der foerderfaehigen Vorprojekte fuer EIC Transition ist - und die Liste sonst den Filter benennt, ohne einen Weg dorthin zu zeigen.</t>
  </si>
  <si>
    <t xml:space="preserve">Fuer Sie nur ueber das Gruendernetzwerk relevant: wer einen ERC-Grant an einer Hochschule hat, kann darueber den Zugang zu EIC Transition oeffnen. Betraege und Laufzeit vor Nutzung am aktuellen ERC Work Programme verifizieren - hier nicht aus der Primaerquelle geprueft.</t>
  </si>
  <si>
    <t xml:space="preserve">erc.europa.eu</t>
  </si>
  <si>
    <t xml:space="preserve">MSCA - Marie Sklodowska-Curie Actions</t>
  </si>
  <si>
    <t xml:space="preserve">EU / Europaeische Kommission (REA)</t>
  </si>
  <si>
    <t xml:space="preserve">Zuschuss fuer Personalkosten</t>
  </si>
  <si>
    <t xml:space="preserve">Unternehmen als Gastgeber oder Partner fuer Doktorandinnen und Postdocs (Doctoral Networks, Postdoctoral Fellowships, Staff Exchanges).</t>
  </si>
  <si>
    <t xml:space="preserve">Forschungsnah, unabhaengig vom TRL.</t>
  </si>
  <si>
    <t xml:space="preserve">Doctoral Networks: Konsortium. Postdoctoral Fellowships: Antrag von Forscherin/Forscher gemeinsam mit der Gasteinrichtung.</t>
  </si>
  <si>
    <t xml:space="preserve">Personalkostenpauschalen je Forscherjahr plus Zuschlaege - Saetze im jeweiligen Work Programme.</t>
  </si>
  <si>
    <t xml:space="preserve">100 % ueber Einheitskostensaetze</t>
  </si>
  <si>
    <t xml:space="preserve">Fellowships typisch 1-2 Jahre, Netzwerke bis 4 Jahre</t>
  </si>
  <si>
    <t xml:space="preserve">Jaehrliche Calls mit festen Fristen - Termine im EU Funding &amp; Tenders Portal.</t>
  </si>
  <si>
    <t xml:space="preserve">Guenstigster Weg, Forschungskapazitaet und Hochschulanbindung ins Unternehmen zu holen, ohne die eigene Lohnsumme zu belasten. Fuer ein AI-Startup vor allem als Aufbau der wissenschaftlichen Substanz interessant, die spaeter fuer Pathfinder oder Eurostars gebraucht wird.</t>
  </si>
  <si>
    <t xml:space="preserve">Kein Projektzuschuss - es finanziert Koepfe, nicht Sachmittel oder Entwicklung. Konkrete Saetze und Fristen wurden hier NICHT aus der Primaerquelle geprueft; vor Planung am MSCA Work Programme verifizieren.</t>
  </si>
  <si>
    <t xml:space="preserve">marie-sklodowska-curie-actions.ec.europa.eu</t>
  </si>
  <si>
    <t xml:space="preserve">Eureka Innowwide</t>
  </si>
  <si>
    <t xml:space="preserve">Eureka-Netzwerk, ko-finanziert aus Horizon Europe</t>
  </si>
  <si>
    <t xml:space="preserve">Zuschuss, Festbetrag</t>
  </si>
  <si>
    <t xml:space="preserve">Einzelnes europaeisches KMU - kein Konsortium erforderlich.</t>
  </si>
  <si>
    <t xml:space="preserve">Markt- und Machbarkeitsstudie vor einem groesseren Vorhaben.</t>
  </si>
  <si>
    <t xml:space="preserve">Kein Konsortium.</t>
  </si>
  <si>
    <t xml:space="preserve">60.000 EUR Festbetrag.</t>
  </si>
  <si>
    <t xml:space="preserve">Festbetrag (kein Prozentsatz).</t>
  </si>
  <si>
    <t xml:space="preserve">Typisch 6 Monate</t>
  </si>
  <si>
    <t xml:space="preserve">Rollierende Calls - Termine ueber eurekanetwork.org.</t>
  </si>
  <si>
    <t xml:space="preserve">Finanziert eine Machbarkeitsstudie fuer Marktchancen ausserhalb Europas. Gleiche Plattform und gleiches Oekosystem wie Eurostars.</t>
  </si>
  <si>
    <t xml:space="preserve">Aufwand vergleichbar mit EuroHPC, nicht mit Eurostars - deshalb ein sinnvoller Vorlauf, um einen internationalen Partner und einen Business Case zu belegen, bevor man einen vollen Eurostars- oder Globalstars-Antrag aufsetzt. Betrag und Laufzeit hier NICHT aus der Primaerquelle geprueft.</t>
  </si>
  <si>
    <t xml:space="preserve">eurekanetwork.org/programmes-and-calls/innowwide/</t>
  </si>
  <si>
    <t xml:space="preserve">02 | Deutsche Bundesprogramme - kombinierbar mit EU-Foerderung - Stand 11.08.2026   (Passung: 5 = sehr gut  |  Aufwand: 1 = gering, 5 = sehr hoch)</t>
  </si>
  <si>
    <t xml:space="preserve">Forschungszulage (FZulG)</t>
  </si>
  <si>
    <t xml:space="preserve">Bund / Finanzamt + Bescheinigungsstelle Forschungszulage (BSFZ)</t>
  </si>
  <si>
    <t xml:space="preserve">Steuergutschrift (Anrechnung bzw. Auszahlung)</t>
  </si>
  <si>
    <t xml:space="preserve">Alle in Deutschland steuerpflichtigen Unternehmen, unabhaengig von Groesse, Rechtsform und Branche - auch bei Verlusten.</t>
  </si>
  <si>
    <t xml:space="preserve">Grundlagenforschung, industrielle Forschung und experimentelle Entwicklung. Keine TRL-Grenze nach oben, aber marktnahe Routineentwicklung ist ausgeschlossen.</t>
  </si>
  <si>
    <t xml:space="preserve">Kein Konsortium noetig; Auftragsforschung und Kooperationen sind foerderfaehig.</t>
  </si>
  <si>
    <t xml:space="preserve">Ab 01.01.2026: Bemessungsgrundlage 12 Mio EUR pro Jahr (Paragraf 3 Abs. 5 Nr. 4 FZulG). KMU-Satz 35 % ergibt bis zu 4,2 Mio EUR pro Jahr. WICHTIG bei mehreren Firmen: nach Paragraf 3 Abs. 6 FZulG gilt die Grenze bei verbundenen Unternehmen fuer alle zusammen nur EINMAL - nicht je Gesellschaft. Zusaetzlich Deckel nach Paragraf 4 Abs. 3 FZulG: max. 15 Mio EUR Gesamtbeihilfe je Unternehmen und Vorhaben.</t>
  </si>
  <si>
    <t xml:space="preserve">25 % Grundsatz; 35 % fuer KMU (10 Prozentpunkte KMU-Bonus).</t>
  </si>
  <si>
    <t xml:space="preserve">Jaehrlich, wirtschaftsjahrbezogen</t>
  </si>
  <si>
    <t xml:space="preserve">Kein Stichtag - Antrag jederzeit, rueckwirkend fuer abgeschlossene Wirtschaftsjahre moeglich.</t>
  </si>
  <si>
    <t xml:space="preserve">Zweistufig: (1) Bescheinigung der Foerderfaehigkeit des Vorhabens bei der BSFZ; (2) Antrag auf Forschungszulage beim Finanzamt. Anrechnung auf die naechste Steuerfestsetzung; uebersteigt die Zulage die Steuerschuld, wird sie ausgezahlt.</t>
  </si>
  <si>
    <t xml:space="preserve">Kumulierungsregel beachten: Nach Paragraf 7 Abs. 1 FZulG kann die Forschungszulage grundsaetzlich auch dann in Anspruch genommen werden, wenn fuer dasselbe FuE-Vorhaben andere Foerderungen gewaehrt werden. ABER nach Paragraf 7 Abs. 2 SATZ 1 FZulG duerfen Aufwendungen NICHT in die Bemessungsgrundlage einbezogen werden, soweit sie bereits im Rahmen anderer Foerderungen oder staatlicher Beihilfen beruecksichtigt wurden; Satz 2 stellt klar, dass dies auch fuer Foerderungen aus Unionsmitteln gilt. Entscheidend ist nicht die Hoehe der anderen Foerderung, sondern die Kostenbasis. Praktische Konsequenz: pro Projekt und pro Kostenposition sauber trennen, welche Stunden in den EU-Zuschuss und welche in die Forschungszulage laufen. Bei Lump-Sum-Foerderungen (EIC) ist diese Abgrenzung besonders sorgfaeltig zu dokumentieren.</t>
  </si>
  <si>
    <t xml:space="preserve">A - Primaerquelle (FZulG, gesetze-im-internet.de) / B fuer Werte ab 2026</t>
  </si>
  <si>
    <t xml:space="preserve">gesetze-im-internet.de/fzulg/ | bescheinigung-forschungszulage.de</t>
  </si>
  <si>
    <t xml:space="preserve">ZIM - Zentrales Innovationsprogramm Mittelstand</t>
  </si>
  <si>
    <t xml:space="preserve">Bund / BMWE (ehem. BMWK), Projekttraeger AiF Projekt GmbH u. a.</t>
  </si>
  <si>
    <t xml:space="preserve">Zuschuss (nicht rueckzahlbar)</t>
  </si>
  <si>
    <t xml:space="preserve">KMU nach EU-Definition (Nr. 3.1.1 Buchst. a) - antragsberechtigt fuer Einzel- UND Kooperationsprojekte. Weitere mittelstaendische Unternehmen bis 499 MA (Buchst. b) ebenfalls fuer beides. Unternehmen bis 999 MA (Buchst. c) NUR in Kooperationsprojekten. Forschungseinrichtungen als Partner.</t>
  </si>
  <si>
    <t xml:space="preserve">Marktorientierte FuE bis zum Prototyp.</t>
  </si>
  <si>
    <t xml:space="preserve">Varianten: Einzelprojekt, Kooperationsprojekt KMU-KMU, KMU-Forschungseinrichtung, Netzwerkprojekt, internationale Kooperationsprojekte.</t>
  </si>
  <si>
    <t xml:space="preserve">ACHTUNG - das sind ZUWENDUNGSFAEHIGE KOSTEN, nicht Foerderbetraege (Nr. 5.4.1): Einzelprojekt bis 690.000 EUR, Kooperationsprojekt bis 560.000 EUR je Unternehmen, Forschungseinrichtung bis 280.000 EUR. Der Zuschuss ergibt sich aus Kosten x Foerdersatz - ein kleines Unternehmen im Kooperationsprojekt erhaelt also max. 560.000 x 45 % = 252.000 EUR. Nur die Zuwendungshoehe fuer das Gesamt-Kooperationsprojekt ist echt gedeckelt: max. 3.000.000 EUR.</t>
  </si>
  <si>
    <t xml:space="preserve">Drei getrennte Spalten (Nr. 5.2.1) - Einzelprojekt / Kooperation national / Kooperation mit auslaendischem Partner: kleine U. in strukturschwachen Regionen 45 / 55 / 60 %; kleine junge U. 45 / 50 / 60 %; kleine U. 40 / 45 / 55 %; mittlere U. 35 / 40 / 50 %; U. nach 3.1.1 b 25 / 30 / 40 %; U. nach 3.1.1 c kein Einzelprojekt / 30 / 40 %. Nichtwirtschaftliche Forschungseinrichtungen 100 %.</t>
  </si>
  <si>
    <t xml:space="preserve">Projektabhaengig, typisch 2-3 Jahre</t>
  </si>
  <si>
    <t xml:space="preserve">ACHTUNG: Seit 07.07.2026, 12:00 Uhr befristeter Antragsstopp. Aufhebung wird fuer Anfang 2027 angestrebt, ist aber ausdruecklich NICHT zugesichert und haengt vom Bundeshaushalt 2027 ab.</t>
  </si>
  <si>
    <t xml:space="preserve">Rechtsgrundlage: Foerderrichtlinie Zentrales Innovationsprogramm Mittelstand vom 28.11.2024, veroeffentlicht BAnz AT 11.12.2024 B1, in Kraft seit 01.01.2025. Zusaetzliche Begrenzung nach Nr. 5.4.1: max. zwei bewilligte FuE-Projekte je Unternehmen innerhalb von zwoelf Monaten.</t>
  </si>
  <si>
    <t xml:space="preserve">Der Antragsstopp gilt fuer alle Projektformen und auch fuer Projektskizzen. AUSGENOMMEN sind Antraege mit internationalen Partnern innerhalb offener bi- und multilateraler Calls - das ist derzeit das einzige offene Tor und ein starkes Argument, ein Vorhaben international aufzusetzen (siehe Eurostars, Globalstars). Bereits eingereichte Antraege werden weiter bearbeitet, Auszahlungen fuer bewilligte Projekte laufen unveraendert.</t>
  </si>
  <si>
    <t xml:space="preserve">A - Primaerquelle (ZIM-Richtlinie, BAnz AT 11.12.2024 B1)</t>
  </si>
  <si>
    <t xml:space="preserve">bundesanzeiger.de BAnz AT 11.12.2024 B1 | zim.de/ZIM/Redaktion/DE/Meldungen/2026/3/2026-07-07-befristeter-antragsstopp.html</t>
  </si>
  <si>
    <t xml:space="preserve">KMU-innovativ: IKT (inkl. Kuenstliche Intelligenz)</t>
  </si>
  <si>
    <t xml:space="preserve">Bund / BMFTR, Projekttraeger VDI/VDE-IT</t>
  </si>
  <si>
    <t xml:space="preserve">KMU nach EU-Definition; Hochschulen und Forschungseinrichtungen als Verbundpartner.</t>
  </si>
  <si>
    <t xml:space="preserve">Industrielle Forschung und vorwettbewerbliche Entwicklung - Spitzenforschung, hoehere Risikobereitschaft als bei ZIM.</t>
  </si>
  <si>
    <t xml:space="preserve">Einzel- und Verbundprojekte moeglich.</t>
  </si>
  <si>
    <t xml:space="preserve">Projektabhaengig - kein starres Limit wie bei ZIM.</t>
  </si>
  <si>
    <t xml:space="preserve">Unternehmen i. d. R. bis 50 % der zuwendungsfaehigen Kosten, KMU-Bonus moeglich; Hochschulen und Forschungseinrichtungen als Verbundpartner bis 100 % der zuwendungsfaehigen Ausgaben.</t>
  </si>
  <si>
    <t xml:space="preserve">Halbjaehrliche Stichtage; naechster Stichtag laut Recherche 15.10.2026. Zweistufig: Skizze zum Stichtag, danach Aufforderung zum Vollantrag.</t>
  </si>
  <si>
    <t xml:space="preserve">KMU-getriebene FuE-Vorhaben im Bereich Kuenstliche Intelligenz sind ausdruecklich Teil der Foerdermassnahme; Schwerpunkt liegt auf Entwicklung und Anwendung von KI-Methoden in softwareintensiven Systemen. Aenderungsbekanntmachung vom 20.01.2026 beachten.</t>
  </si>
  <si>
    <t xml:space="preserve">Die inhaltliche Latte liegt hoeher als bei ZIM - erwartet wird echter Forschungsanspruch, nicht Produktentwicklung. Zweistufiges Verfahren bedeutet lange Vorlaufzeit bis zur Bewilligung. Wichtig: Stichtag und Foerderquote stammen aus Sekundaerquellen und sind vor der Planung an der aktuellen Bekanntmachung des BMFTR zu verifizieren.</t>
  </si>
  <si>
    <t xml:space="preserve">bmftr.bund.de KMU-innovativ IKT | vdivde-it.de/de/kmu-innovativ-ikt</t>
  </si>
  <si>
    <t xml:space="preserve">EXIST-Gruendungsstipendium</t>
  </si>
  <si>
    <t xml:space="preserve">Bund / BMWE, Projekttraeger Juelich</t>
  </si>
  <si>
    <t xml:space="preserve">Stipendium plus Sachmittelzuschuss</t>
  </si>
  <si>
    <t xml:space="preserve">Gruenderteams aus 1 bis 3 Personen aus Hochschulen und Forschungseinrichtungen. Mind. eine promovierende Person/Postdoc oder eine Person mit Hochschulabschluss innerhalb der letzten 5 Jahre.</t>
  </si>
  <si>
    <t xml:space="preserve">Vorgruendungsphase - Idee bis Businessplan.</t>
  </si>
  <si>
    <t xml:space="preserve">Antragstellerin ist die Hochschule/Forschungseinrichtung, nicht das Team selbst.</t>
  </si>
  <si>
    <t xml:space="preserve">Lebensunterhalt: 3.000 EUR/Monat fuer Promovierte, 2.500 EUR fuer Hochschulabsolventen, 2.000 EUR fuer Gruendende mit Berufsabschluss, 1.000 EUR fuer Studierende; Kinderzuschlag 150 EUR. Sachmittel: 30.000 EUR fuer TEAMS, bis 10.000 EUR bei EINZELGRUENDUNG (in einer frueheren Fassung dieser Liste vertauscht). Zusaetzlich Coachingbudget 5.000 EUR.</t>
  </si>
  <si>
    <t xml:space="preserve">Stipendium, keine Quote.</t>
  </si>
  <si>
    <t xml:space="preserve">Bis 12 Monate</t>
  </si>
  <si>
    <t xml:space="preserve">Laufende Antragstellung, kein Stichtag.</t>
  </si>
  <si>
    <t xml:space="preserve">Unterstuetzt die Vorbereitung innovativer technologieorientierter und wissensbasierter Gruendungsvorhaben. Betreuung durch die Hochschule ist verpflichtend.</t>
  </si>
  <si>
    <t xml:space="preserve">Nur fuer noch nicht gegruendete bzw. sehr junge Vorhaben mit Hochschulanbindung - fuer bereits operativ taetige Firmen nicht zugaenglich. Relevanz fuer Sie vor allem im Gruendernetzwerk: als Hinweis fuer Kontakte, die noch vor der Gruendung stehen. Betraege sind aus Sekundaerquellen und vor Weitergabe zu verifizieren.</t>
  </si>
  <si>
    <t xml:space="preserve">exist.de</t>
  </si>
  <si>
    <t xml:space="preserve">EXIST-Forschungstransfer</t>
  </si>
  <si>
    <t xml:space="preserve">Zuschuss (Personal- und Sachmittel), zweiphasig</t>
  </si>
  <si>
    <t xml:space="preserve">Forschungsteams an Hochschulen und Forschungseinrichtungen mit forschungsbasierten Gruendungsideen; in Phase II das gegruendete Unternehmen.</t>
  </si>
  <si>
    <t xml:space="preserve">Phase I: Nachweis der technischen Machbarkeit. Phase II: Weiterentwicklung bis zur Marktreife.</t>
  </si>
  <si>
    <t xml:space="preserve">Phase I an der Hochschule/Forschungseinrichtung, Phase II im gegruendeten Unternehmen.</t>
  </si>
  <si>
    <t xml:space="preserve">Phase I: Personalstellen nach TV-L-Eingruppierung plus Sachausgaben bis 250.000 EUR. Phase II: bis 180.000 EUR.</t>
  </si>
  <si>
    <t xml:space="preserve">Phase I an Hochschulen i. d. R. Vollfinanzierung; Phase II anteilig.</t>
  </si>
  <si>
    <t xml:space="preserve">Phase I i. d. R. 18 Monate, Verlaengerung bis 36 Monate moeglich. Kein Direkteinstieg in Phase II (Ausnahme: KI-Modellprojekt aus dem Gruendungsstipendium).</t>
  </si>
  <si>
    <t xml:space="preserve">Laufende Antragstellung; Details im Handbuch EXIST-Forschungstransfer, 5. aktualisierte Auflage 2026.</t>
  </si>
  <si>
    <t xml:space="preserve">Foerdert in Phase I Forschungs- und Entwicklungsarbeiten zum Nachweis der technischen Machbarkeit forschungsbasierter Gruendungsideen. Die Verguetung erfolgt nach Eingruppierung in TV-L-Entgeltgruppen und liegt deutlich ueber dem Gruendungsstipendium.</t>
  </si>
  <si>
    <t xml:space="preserve">Deutlich hoehere Foerdersummen als das Gruendungsstipendium, aber auch deutlich hoehere Anforderungen an den Forschungsgehalt und zwingende Anbindung an eine Hochschule/Forschungseinrichtung. Konkrete Betraege und Laufzeiten wurden nicht aus dem Handbuch selbst verifiziert.</t>
  </si>
  <si>
    <t xml:space="preserve">exist.de/wp-content/uploads/2024/10/260609_Handbuch_EFT_2026_barrierefrei.pdf</t>
  </si>
  <si>
    <t xml:space="preserve">INVEST - Zuschuss fuer Wagniskapital</t>
  </si>
  <si>
    <t xml:space="preserve">Bund / BMWE, umgesetzt durch das BAFA</t>
  </si>
  <si>
    <t xml:space="preserve">Zuschuss an den privaten Investor (nicht an das Unternehmen)</t>
  </si>
  <si>
    <t xml:space="preserve">Junge innovative Unternehmen als Zielgesellschaft; antragsberechtigt sind die privaten Investorinnen und Investoren (Business Angels).</t>
  </si>
  <si>
    <t xml:space="preserve">Fruehphase / Seed.</t>
  </si>
  <si>
    <t xml:space="preserve">Erwerbszuschuss 25 % der Beteiligungssumme, max. 100.000 EUR je Investor und Jahr (entspricht 666.666,66 EUR Investitionssumme). Zusaetzlich Exitzuschuss 25 % auf realisierte Veraeusserungsgewinne fuer natuerliche Personen.</t>
  </si>
  <si>
    <t xml:space="preserve">25 % Erwerbszuschuss, steuerfrei.</t>
  </si>
  <si>
    <t xml:space="preserve">BEFRISTET BIS 31.12.2026 - danach ist eine Fortfuehrung offen. Antragstellung laufend, aber die Foerderfaehigkeit der Zielgesellschaft muss VOR Abschluss der Beteiligung bestaetigt sein.</t>
  </si>
  <si>
    <t xml:space="preserve">Bundesweites Foerderprogramm fuer Wagniskapital privater Investierender. Die Zielgesellschaft laesst sich vorab als foerderfaehig anerkennen, danach koennen Investoren den Zuschuss beantragen.</t>
  </si>
  <si>
    <t xml:space="preserve">Zwei K.-o.-Punkte: (1) Das Programm laeuft zum 31.12.2026 aus - wer den Hebel noch nutzen will, muss die Beteiligung bis dahin abgeschlossen haben. (2) Die Anerkennung der Zielgesellschaft muss VOR dem Beteiligungsvertrag vorliegen, sonst entfaellt der Zuschuss rueckwirkend. Kein Geld fuer das Unternehmen direkt - der Hebel liegt darin, dass die Beteiligung fuer Angels attraktiver wird.</t>
  </si>
  <si>
    <t xml:space="preserve">B - Offizielle Website (BAFA/BMWE)</t>
  </si>
  <si>
    <t xml:space="preserve">bafa.de/DE/Wirtschaft/Beratung_Finanzierung/Invest/invest_node.html</t>
  </si>
  <si>
    <t xml:space="preserve">IGF - Industrielle Gemeinschaftsforschung</t>
  </si>
  <si>
    <t xml:space="preserve">Bund / BMWE, AiF e. V.</t>
  </si>
  <si>
    <t xml:space="preserve">Zuschuss an Forschungsvereinigungen</t>
  </si>
  <si>
    <t xml:space="preserve">Forschungsvereinigungen; KMU profitieren als Mitglieder des projektbegleitenden Ausschusses.</t>
  </si>
  <si>
    <t xml:space="preserve">Vorwettbewerbliche Forschung.</t>
  </si>
  <si>
    <t xml:space="preserve">Forschungsvereinigung mit Forschungsstellen; KMU wirken im projektbegleitenden Ausschuss mit.</t>
  </si>
  <si>
    <t xml:space="preserve">Projektabhaengig.</t>
  </si>
  <si>
    <t xml:space="preserve">Foerderung an die Forschungsstellen, i. d. R. Vollfinanzierung.</t>
  </si>
  <si>
    <t xml:space="preserve">Laufende Antragstellung ueber die jeweilige Forschungsvereinigung.</t>
  </si>
  <si>
    <t xml:space="preserve">Vorwettbewerbliche Forschung im Interesse einer ganzen Branche; Ergebnisse sind fuer alle zugaenglich.</t>
  </si>
  <si>
    <t xml:space="preserve">Kein direktes Geld an das eigene Unternehmen - der Nutzen liegt im fruehen Zugriff auf Forschungsergebnisse und im Netzwerk. Fuer die etablierten Mittelstandsfirmen ein guenstiger Nebeneinstieg, fuer ein Start-up mit IP-Fokus eher unattraktiv, da die Ergebnisse offen sind. Details wurden nicht aus einer Primaerquelle verifiziert.</t>
  </si>
  <si>
    <t xml:space="preserve">aif.de</t>
  </si>
  <si>
    <t xml:space="preserve">High-Tech Gruenderfonds / DeepTech &amp; Climate Fonds</t>
  </si>
  <si>
    <t xml:space="preserve">Bund (BMWE, KfW Capital) und private Investoren</t>
  </si>
  <si>
    <t xml:space="preserve">Eigenkapital / Wandeldarlehen</t>
  </si>
  <si>
    <t xml:space="preserve">HTGF: Seed-Phase, technologieorientierte Start-ups. DTCF: Deep-Tech- und Klimatechnologien in spaeteren Phasen.</t>
  </si>
  <si>
    <t xml:space="preserve">HTGF Seed; DTCF Wachstum.</t>
  </si>
  <si>
    <t xml:space="preserve">Ticketgroessen wurden nicht aus einer Primaerquelle verifiziert.</t>
  </si>
  <si>
    <t xml:space="preserve">Marktkonditionen (Beteiligung), keine Foerderquote.</t>
  </si>
  <si>
    <t xml:space="preserve">Laufend, kein Call-Verfahren.</t>
  </si>
  <si>
    <t xml:space="preserve">Klassischer Weg fuer die Anschlussfinanzierung nach EXIST bzw. neben Zuschussprogrammen.</t>
  </si>
  <si>
    <t xml:space="preserve">Beteiligungskapital, kein Zuschuss - Verwaesserung und Governance-Auflagen sind der Preis. Wichtig fuer die Foerderplanung: eine Beteiligung kann den KMU-Status nach EU-Empfehlung 2003/361 beeinflussen und damit die Foerderfaehigkeit in Eurostars und EIC Accelerator gefaehrden. Vor jeder Runde die KMU-Definition durchrechnen (Partnerunternehmen und verbundene Unternehmen).</t>
  </si>
  <si>
    <t xml:space="preserve">htgf.de | deeptechandclimate.de</t>
  </si>
  <si>
    <t xml:space="preserve">Landesprogramme (bundeslandspezifisch)</t>
  </si>
  <si>
    <t xml:space="preserve">Jeweiliges Bundesland / Landesfoerderbank, teils EFRE-kofinanziert</t>
  </si>
  <si>
    <t xml:space="preserve">Zuschuss, Darlehen, Beteiligung</t>
  </si>
  <si>
    <t xml:space="preserve">KMU und Start-ups mit Betriebsstaette im jeweiligen Bundesland.</t>
  </si>
  <si>
    <t xml:space="preserve">Sehr unterschiedlich - von Gruendung bis Digitalisierungsinvestition.</t>
  </si>
  <si>
    <t xml:space="preserve">Meist Einzelantraege.</t>
  </si>
  <si>
    <t xml:space="preserve">Sehr unterschiedlich, typisch fuenf- bis sechsstellig.</t>
  </si>
  <si>
    <t xml:space="preserve">Sehr unterschiedlich.</t>
  </si>
  <si>
    <t xml:space="preserve">Laufend bzw. landesspezifische Stichtage.</t>
  </si>
  <si>
    <t xml:space="preserve">Die Landesebene ist auch die Stelle, an der ein EIC Seal of Excellence bzw. STEP Seal in echtes Geld umgesetzt werden kann - sofern das Land EFRE-Mittel dafuer bereitstellt.</t>
  </si>
  <si>
    <t xml:space="preserve">Nicht recherchiert, weil das relevante Bundesland nicht bekannt ist. Sobald die Sitze Ihrer Firmen feststehen, laesst sich das gezielt nachziehen. Erste Anlaufstelle ist die Foerderdatenbank des Bundes (foerderdatenbank.de) mit Filter nach Bundesland.</t>
  </si>
  <si>
    <t xml:space="preserve">Nicht recherchiert - Bundesland unbekannt</t>
  </si>
  <si>
    <t xml:space="preserve">foerderdatenbank.de</t>
  </si>
  <si>
    <t xml:space="preserve">SPRIND - Bundesagentur fuer Sprunginnovationen</t>
  </si>
  <si>
    <t xml:space="preserve">Bund / SPRIND GmbH (BMFTR)</t>
  </si>
  <si>
    <t xml:space="preserve">Challenges (vorkommerzielle Auftraege), Validierung, Beteiligungen</t>
  </si>
  <si>
    <t xml:space="preserve">Teams, Start-ups, KMU, Forschende - auch aus dem europaeischen Ausland. Kein Konsortium noetig.</t>
  </si>
  <si>
    <t xml:space="preserve">Sprunginnovation - hohes technisches Risiko, grosse Hebelwirkung. TRL-Spanne bewusst weit.</t>
  </si>
  <si>
    <t xml:space="preserve">Einzelbewerbung moeglich; bei Challenges treten Teams gegeneinander an.</t>
  </si>
  <si>
    <t xml:space="preserve">Challenge-abhaengig und sehr hoch. Referenz: Challenge 'Next Frontier AI' mit 125 Mio EUR Gesamtvolumen, bis zu 26,5 Mio EUR je Team ueber drei Stufen (Stufe 1 bis 3 Mio, Stufe 2 weitere 8 Mio, Stufe 3 weitere 15,5 Mio).</t>
  </si>
  <si>
    <t xml:space="preserve">Bei Challenges kein klassischer Zuschuss mit Eigenanteil, sondern vorkommerzielle Beschaffung.</t>
  </si>
  <si>
    <t xml:space="preserve">Challenge-abhaengig; 'Next Frontier AI' laeuft ueber 24 Monate in drei Stufen.</t>
  </si>
  <si>
    <t xml:space="preserve">STATUS 'Next Frontier AI': Einreichungsfrist war 01.06.2026, die zehn Teams wurden am 17.07.2026 ausgewaehlt (drei aus Deutschland, zwei UK, zwei Schweiz, zwei Frankreich, eines Italien) - dieser Wettbewerb ist fuer neue Bewerbungen geschlossen. Weitere und kommende Challenges laufend auf sprind.org.</t>
  </si>
  <si>
    <t xml:space="preserve">SPRIND arbeitet ausdruecklich nicht im klassischen Zuwendungsverfahren: Auswahl ueber Wettbewerb bzw. direkte Ansprache, deutlich schnellere Entscheidungen als bei BMFTR-Programmen, kein Konsortialzwang, keine Antragsfristen im ueblichen Sinn.</t>
  </si>
  <si>
    <t xml:space="preserve">In der ersten Fassung dieser Liste gefehlt - fuer ein deutsches Deep-Tech-/AI-Unternehmen die groesste Luecke. Aber: 'Next Frontier AI' ist bereits vergeben, und SPRIND finanziert nur sehr wenige, sehr grosse Wetten. Realistisch ist das kein planbarer Foerderweg, sondern eine Option, die man beobachtet und bei passender Challenge sofort zieht. Konkrete Konditionen kommender Challenges vorab pruefen.</t>
  </si>
  <si>
    <t xml:space="preserve">B - Offizielle Website und SPRIND-Pressemitteilung vom 17.07.2026</t>
  </si>
  <si>
    <t xml:space="preserve">sprind.org/de/challenges | sprind.org Pressemitteilung Next Frontier AI 17.07.2026</t>
  </si>
  <si>
    <t xml:space="preserve">KfW / ERP-Kreditprogramme</t>
  </si>
  <si>
    <t xml:space="preserve">Bund / KfW ueber die Hausbank (Durchleitung)</t>
  </si>
  <si>
    <t xml:space="preserve">Foerderdarlehen, teils mit Haftungsfreistellung</t>
  </si>
  <si>
    <t xml:space="preserve">KMU und mittelstaendische Unternehmen; einzelne Programme speziell fuer junge Unternehmen.</t>
  </si>
  <si>
    <t xml:space="preserve">Unabhaengig vom TRL - finanziert Investitionen und Betriebsmittel, nicht Forschung im engeren Sinn.</t>
  </si>
  <si>
    <t xml:space="preserve">Programmabhaengig; die Innovations- und Digitalisierungsprogramme bewegen sich im Millionenbereich je Vorhaben.</t>
  </si>
  <si>
    <t xml:space="preserve">Zinsverbilligtes Darlehen, kein Zuschuss - Rueckzahlung mit Zins.</t>
  </si>
  <si>
    <t xml:space="preserve">Mehrjaehrige Laufzeiten mit tilgungsfreien Anlaufjahren</t>
  </si>
  <si>
    <t xml:space="preserve">Laufend, kein Call-Verfahren. Antrag immer VOR Vorhabensbeginn ueber die Hausbank.</t>
  </si>
  <si>
    <t xml:space="preserve">Waehrend des ZIM-Antragsstopps das groesste noch offene Bundesinstrument fuer die etablierten Mittelstandsfirmen. Kein Wettbewerbsverfahren, keine Gutachter, keine Frist.</t>
  </si>
  <si>
    <t xml:space="preserve">Fremdkapital statt Zuschuss - es verbessert die Liquiditaet, nicht die Eigenkapitalquote, und die Hausbank muss mitziehen (Durchleitungsprinzip, teilweise mit Haftungsfreistellung). Konkrete Programme, Konditionen und Hoechstbetraege wurden hier NICHT im Detail recherchiert; vor Nutzung auf kfw.de bzw. mit der Hausbank klaeren.</t>
  </si>
  <si>
    <t xml:space="preserve">C - nicht im Detail recherchiert, vor Nutzung verifizieren</t>
  </si>
  <si>
    <t xml:space="preserve">kfw.de</t>
  </si>
  <si>
    <t xml:space="preserve">03 | Fristenkalender 2026 / 2027 (kein Anspruch auf Vollstaendigkeit - monatliche EIC-Accelerator-Short-Proposal-Batches und viele Topic-Fristen sind nicht einzeln gelistet). Referenzdatum in B3 aendern, Berechnungen aktualisieren sich.</t>
  </si>
  <si>
    <t xml:space="preserve">Referenzdatum (heute):</t>
  </si>
  <si>
    <t xml:space="preserve">2026-08-11</t>
  </si>
  <si>
    <t xml:space="preserve">Blau = manuelle Eingabe. Datum im Format JJJJ-MM-TT eintragen.</t>
  </si>
  <si>
    <t xml:space="preserve">Datum</t>
  </si>
  <si>
    <t xml:space="preserve">Uhrzeit</t>
  </si>
  <si>
    <t xml:space="preserve">Was ist faellig</t>
  </si>
  <si>
    <t xml:space="preserve">Status</t>
  </si>
  <si>
    <t xml:space="preserve">Tage bis Frist</t>
  </si>
  <si>
    <t xml:space="preserve">2026-02-19</t>
  </si>
  <si>
    <t xml:space="preserve">EU Innovation Fund - Auktionen (H2 / Prozesswaerme)</t>
  </si>
  <si>
    <t xml:space="preserve">Gebotsabgabe</t>
  </si>
  <si>
    <t xml:space="preserve">CINEA</t>
  </si>
  <si>
    <t xml:space="preserve">2026-02-26</t>
  </si>
  <si>
    <t xml:space="preserve">17:00 BRU</t>
  </si>
  <si>
    <t xml:space="preserve">EIC Advanced Innovation Challenges - Stage 1</t>
  </si>
  <si>
    <t xml:space="preserve">Einreichung Stage-1-Antrag (Physical AI / NAMs), max. 11 Seiten</t>
  </si>
  <si>
    <t xml:space="preserve">EIC WP 2026</t>
  </si>
  <si>
    <t xml:space="preserve">2026-03-19</t>
  </si>
  <si>
    <t xml:space="preserve">14:00 CET</t>
  </si>
  <si>
    <t xml:space="preserve">Eurostars 3 - Call 10</t>
  </si>
  <si>
    <t xml:space="preserve">Vollantrag ueber myeurekaproject.org</t>
  </si>
  <si>
    <t xml:space="preserve">Eureka</t>
  </si>
  <si>
    <t xml:space="preserve">2026-04-23</t>
  </si>
  <si>
    <t xml:space="preserve">17:00 CET</t>
  </si>
  <si>
    <t xml:space="preserve">EU Innovation Fund - Net-Zero Technologies</t>
  </si>
  <si>
    <t xml:space="preserve">Vollantrag ueber Funding &amp; Tenders Portal</t>
  </si>
  <si>
    <t xml:space="preserve">2026-05-12</t>
  </si>
  <si>
    <t xml:space="preserve">Vollantrag, max. 22 Seiten, Konsortium mind. 3 Entitaeten</t>
  </si>
  <si>
    <t xml:space="preserve">2026-05-15</t>
  </si>
  <si>
    <t xml:space="preserve">Antrag (Angabe aus Sekundaerquelle - verifizieren)</t>
  </si>
  <si>
    <t xml:space="preserve">grantedai.com</t>
  </si>
  <si>
    <t xml:space="preserve">2026-06-01</t>
  </si>
  <si>
    <t xml:space="preserve">SPRIND Challenge - Next Frontier AI</t>
  </si>
  <si>
    <t xml:space="preserve">Bewerbung; zehn Teams am 17.07.2026 ausgewaehlt - geschlossen</t>
  </si>
  <si>
    <t xml:space="preserve">sprind.org</t>
  </si>
  <si>
    <t xml:space="preserve">2026-07-08</t>
  </si>
  <si>
    <t xml:space="preserve">EIC Accelerator - Full Proposal Cut-off 4</t>
  </si>
  <si>
    <t xml:space="preserve">Vollantrag (nur nach erfolgreichem Short Proposal)</t>
  </si>
  <si>
    <t xml:space="preserve">2026-08-27</t>
  </si>
  <si>
    <t xml:space="preserve">Eureka Network Projects - Canada Call 7</t>
  </si>
  <si>
    <t xml:space="preserve">Antrag - ACHTUNG: nur Kanada ist teilnehmendes Land, fuer dt. Partner ohne eigene Foerderung wertlos</t>
  </si>
  <si>
    <t xml:space="preserve">2026-09-02</t>
  </si>
  <si>
    <t xml:space="preserve">EIC Accelerator - Full Proposal Cut-off 5</t>
  </si>
  <si>
    <t xml:space="preserve">Vollantrag; erste Bewertung von Dual-use-Antraegen</t>
  </si>
  <si>
    <t xml:space="preserve">2026-09-09</t>
  </si>
  <si>
    <t xml:space="preserve">EIC STEP Scale Up - Batch 3</t>
  </si>
  <si>
    <t xml:space="preserve">Antrag inkl. Businessplan und Investoren-Pre-Commitment</t>
  </si>
  <si>
    <t xml:space="preserve">2026-09-10</t>
  </si>
  <si>
    <t xml:space="preserve">Eurostars 3 - Call 11</t>
  </si>
  <si>
    <t xml:space="preserve">2026-09-16</t>
  </si>
  <si>
    <t xml:space="preserve">Vollantrag; foerderfaehiges Vorprojekt zwingend erforderlich</t>
  </si>
  <si>
    <t xml:space="preserve">2026-09-29</t>
  </si>
  <si>
    <t xml:space="preserve">European Defence Fund (EDF) 2026</t>
  </si>
  <si>
    <t xml:space="preserve">EUDIS</t>
  </si>
  <si>
    <t xml:space="preserve">2026-10-01</t>
  </si>
  <si>
    <t xml:space="preserve">Digital Europe Programme</t>
  </si>
  <si>
    <t xml:space="preserve">Diverse Topic-Fristen - topic-genau im Funding &amp; Tenders Portal pruefen</t>
  </si>
  <si>
    <t xml:space="preserve">HaDEA</t>
  </si>
  <si>
    <t xml:space="preserve">2026-10-15</t>
  </si>
  <si>
    <t xml:space="preserve">KMU-innovativ: IKT</t>
  </si>
  <si>
    <t xml:space="preserve">Projektskizze zum Stichtag (Angabe aus Sekundaerquelle - verifizieren)</t>
  </si>
  <si>
    <t xml:space="preserve">BMFTR / VDI-VDE</t>
  </si>
  <si>
    <t xml:space="preserve">2026-10-28</t>
  </si>
  <si>
    <t xml:space="preserve">EIC Pathfinder Challenges</t>
  </si>
  <si>
    <t xml:space="preserve">Vollantrag, max. 30 Seiten - inkl. Challenge 'DeepRAP / trustworthy Cognitive AI'</t>
  </si>
  <si>
    <t xml:space="preserve">Antrag (Equity 10-30 Mio EUR)</t>
  </si>
  <si>
    <t xml:space="preserve">2026-11-02</t>
  </si>
  <si>
    <t xml:space="preserve">Eureka Cluster ITEA 4 - Call 2026</t>
  </si>
  <si>
    <t xml:space="preserve">Project Outline (PO)</t>
  </si>
  <si>
    <t xml:space="preserve">itea4.org</t>
  </si>
  <si>
    <t xml:space="preserve">2026-11-04</t>
  </si>
  <si>
    <t xml:space="preserve">EIC Accelerator - Full Proposal Cut-off 6</t>
  </si>
  <si>
    <t xml:space="preserve">Letzter Vollantrags-Cut-off 2026</t>
  </si>
  <si>
    <t xml:space="preserve">2026-11-25</t>
  </si>
  <si>
    <t xml:space="preserve">EIC STEP Scale Up - Batch 4</t>
  </si>
  <si>
    <t xml:space="preserve">Antrag</t>
  </si>
  <si>
    <t xml:space="preserve">2027-01-21</t>
  </si>
  <si>
    <t xml:space="preserve">Eureka Cluster Xecs - Call 6</t>
  </si>
  <si>
    <t xml:space="preserve">Project Outline - Deutschland ist kein teilnehmendes Land</t>
  </si>
  <si>
    <t xml:space="preserve">eurekanetwork.org</t>
  </si>
  <si>
    <t xml:space="preserve">2027-02-11</t>
  </si>
  <si>
    <t xml:space="preserve">Full Project Proposal (FPP)</t>
  </si>
  <si>
    <t xml:space="preserve">2027-06-18</t>
  </si>
  <si>
    <t xml:space="preserve">EIC Advanced Innovation Challenges - Stage 2</t>
  </si>
  <si>
    <t xml:space="preserve">Restricted Call - nur fuer Stage-1-Teilnehmer</t>
  </si>
  <si>
    <t xml:space="preserve">Noch offene Fristen:</t>
  </si>
  <si>
    <t xml:space="preserve">Naechste Frist in Tagen:</t>
  </si>
  <si>
    <t xml:space="preserve">04 | Priorisierung fuer Ihr Profil: dt. Tech-/AI-Startup + etablierte Mittelstandsfirmen + Gruendernetzwerk, Forschungszulage bereits genutzt</t>
  </si>
  <si>
    <t xml:space="preserve">Gewichtung Passung</t>
  </si>
  <si>
    <t xml:space="preserve">&lt;- blau/gelb = frei anpassbar; Score = Passung x C3 - Aufwand x C4</t>
  </si>
  <si>
    <t xml:space="preserve">Gewichtung Aufwand (Abzug)</t>
  </si>
  <si>
    <t xml:space="preserve">Rang</t>
  </si>
  <si>
    <t xml:space="preserve">Quelle-Blatt</t>
  </si>
  <si>
    <t xml:space="preserve">Passung</t>
  </si>
  <si>
    <t xml:space="preserve">Aufwand</t>
  </si>
  <si>
    <t xml:space="preserve">Score</t>
  </si>
  <si>
    <t xml:space="preserve">Warum genau dieses Programm fuer Sie</t>
  </si>
  <si>
    <t xml:space="preserve">EU EU</t>
  </si>
  <si>
    <t xml:space="preserve">Eurostars ist die direkte Antwort auf 'Deep Tech AI mit einem weiteren europaeischen Partner'. Bottom-up, keine Themenvorgabe, ein Partner reicht, 36 Monate. Frist 10.09.2026. Der Deckel von 500.000 EUR fuer alle deutschen Partner zusammen bedeutet: den auslaendischen Partner mit echtem Budgetanteil aufsetzen, sonst verschenken Sie Projektvolumen. Achten Sie auf die 50-%-KMU-Regel und die 70-%-Laendergrenze - beides laesst sich durch Budgetdesign steuern.</t>
  </si>
  <si>
    <t xml:space="preserve">EuroHPC AI Factories sollte als erstes laufen, unabhaengig von allem anderen. Kein Geld, aber bis 50.000 GPU-Stunden kostenlos, Antrag in Stunden statt Monaten, Zusage teils in 2 Arbeitstagen. Fuer ein AI-Startup senkt das sofort die groesste laufende Kostenposition und erzeugt nebenbei Traction-Belege, die in jedem spaeteren EIC-Antrag helfen.</t>
  </si>
  <si>
    <t xml:space="preserve">DE DE</t>
  </si>
  <si>
    <t xml:space="preserve">Die Forschungszulage haben Sie bereits - ab 2026 steigt die Bemessungsgrundlage auf 12 Mio EUR, KMU-Satz 35 %, also bis 4,2 Mio EUR pro Jahr. Der Hebel liegt jetzt nicht im Antrag, sondern in der Kostenabgrenzung: sobald EU-Zuschuesse dazukommen, duerfen dieselben Aufwendungen nicht doppelt angesetzt werden. Ein sauberes Zeiterfassungs- und Kostenstellenmodell pro Projekt ist hier direkt in Euro messbar.</t>
  </si>
  <si>
    <t xml:space="preserve">EIC Accelerator ist der groesste Einzeltopf (bis 2,5 Mio Zuschuss plus 1-10 Mio Eigenkapital) und 2026 deutlich schneller. Aber: nach drei erfolglosen Einreichungen sind Sie bis Ende Horizon Europe gesperrt. Nicht als Experiment einreichen. Voraussetzung ist TRL 5 vollstaendig abgeschlossen und der Nachweis, dass Sie die 30 % Eigenanteil stemmen koennen.</t>
  </si>
  <si>
    <t xml:space="preserve">Pathfinder Challenge 'DeepRAP - trustworthy Cognitive AI' ist der einzige explizit auf KI zugeschnittene PATHFINDER-Topf 2026 (der zweite KI-Topf im EIC ist die AIC-Challenge Physical AI, deren Stage 1 aber bereits ausgelaufen ist): bis 4 Mio EUR bei 100 % Foerderquote, Frist 28.10.2026. Einzelantraege sind hier ausdruecklich zugelassen. Nur sinnvoll bei echtem Forschungsanteil Richtung TRL 3-4 - und die Auswahl folgt einer Portfolio-Logik, nicht nur dem Score.</t>
  </si>
  <si>
    <t xml:space="preserve">KMU-innovativ IKT deckt KI-Vorhaben explizit ab, bis 50 % fuer Unternehmen und bis 100 % fuer Hochschulpartner. Das ist der naheliegende nationale Ersatz, solange ZIM gestoppt ist. Stichtag und Quoten stammen aus Sekundaerquellen - vor der Planung an der BMFTR-Bekanntmachung verifizieren.</t>
  </si>
  <si>
    <t xml:space="preserve">ZIM waere fuer die etablierten Mittelstandsfirmen das Standardinstrument (bis 560.000 EUR je Unternehmen und Teilprojekt), ist aber seit 07.07.2026 gestoppt. Wichtig: internationale Kooperationsantraege in offenen bi-/multilateralen Calls sind ausgenommen. Genau das ist ein zusaetzliches Argument, Vorhaben international aufzusetzen statt national zu warten.</t>
  </si>
  <si>
    <t xml:space="preserve">Horizon Europe Cluster 4 hat mit rund 678 Mio EUR fuer digitale Topics das groesste Volumen und trifft mit vertrauenswuerdiger KI, Daten/Cloud-Edge und KI-gestuetzten Industriesystemen Ihr Thema. Realistisch aber nur als Partner in einem fremdkoordinierten Konsortium - als Koordinator ist der Aufwand fuer ein Start-up kaum tragbar. Konkrete Topic-Fristen einzeln im Portal pruefen.</t>
  </si>
  <si>
    <t xml:space="preserve">EIC Transition ist attraktiv (100 %, bis 2,5 Mio EUR, Einzelantrag moeglich), aber nur zugaenglich mit foerderfaehigem Vorprojekt aus Pathfinder, ERC PoC, Horizon-Saeule-2 oder Forschungsinfrastrukturen. Wenn eine Ihrer Firmen oder ein Kontakt im Gruendernetzwerk so ein Vorprojekt hat: das ist eine der guenstigsten Foerderungen im gesamten EU-Portfolio. Sonst nicht relevant.</t>
  </si>
  <si>
    <t xml:space="preserve">Der Seal of Excellence kostet nichts extra - er faellt beim Accelerator-/STEP-Antrag automatisch an, wenn Sie die Schwellen reissen, aber am Budget scheitern. Ob daraus in Deutschland Geld wird, entscheidet das jeweilige Bundesland ueber sein EFRE-Programm. Vorab beim Land klaeren, sonst bleibt es ein Titel.</t>
  </si>
  <si>
    <t xml:space="preserve">Landesprogramme wurden bewusst nicht recherchiert, weil das Bundesland Ihrer Firmen nicht bekannt ist. Sobald das feststeht, ist das der Bereich mit dem besten Aufwand-Nutzen-Verhaeltnis nach der Forschungszulage - und die Stelle, an der ein EIC Seal in Geld umgesetzt wird.</t>
  </si>
  <si>
    <t xml:space="preserve">SPRIND ist der groesste denkbare Einzelhebel in Deutschland - die Challenge 'Next Frontier AI' war mit 125 Mio EUR und bis zu 26,5 Mio EUR je Team dotiert. Aber genau diese Challenge ist seit dem 17.07.2026 vergeben, und SPRIND finanziert generell nur sehr wenige, sehr grosse Wetten. Deshalb: beobachten und bei passender kommender Challenge sofort ziehen - aber nichts darauf planen.</t>
  </si>
  <si>
    <t xml:space="preserve">Innowwide ist der guenstigste Einstieg ins Eureka-Oekosystem: 60.000 EUR Festbetrag, ein einzelnes KMU, kein Konsortium. Sinnvoll als Vorlauf, um internationalen Partner und Business Case zu belegen, bevor Sie einen vollen Eurostars-Antrag aufsetzen. Konditionen vorab verifizieren.</t>
  </si>
  <si>
    <t xml:space="preserve">Globalstars/Network Projects ist der Weg fuer Partner ausserhalb Europas (Kanada, Japan, Suedkorea, Singapur). Deutschland nimmt nicht an jedem Call teil - pro Call einzeln pruefen. Als international aufgesetztes Vorhaben faellt es zudem unter die ZIM-Ausnahme vom Antragsstopp. Achtung: der prominent gelistete Canada Call 7 fuehrt nur Kanada als teilnehmendes Land - fuer deutsche Partner ohne eigene Foerderung wertlos.</t>
  </si>
  <si>
    <t xml:space="preserve">Hinweis</t>
  </si>
  <si>
    <t xml:space="preserve">Die Reihenfolge oben ist nach Score sortierbar, aber bewusst inhaltlich begruendet - der Score ist eine Entscheidungshilfe, kein Automatismus. Passung und Aufwand sind meine Einschaetzung fuer Ihr Profil, keine offizielle Kennzahl. Aendern Sie die Gewichte in C3/C4, wenn Sie z. B. Aufwand staerker gewichten wollen.</t>
  </si>
  <si>
    <t xml:space="preserve">05 | Quellenverzeichnis - abgerufen am 11.08.2026</t>
  </si>
  <si>
    <t xml:space="preserve">Typ</t>
  </si>
  <si>
    <t xml:space="preserve">Verwendet fuer</t>
  </si>
  <si>
    <t xml:space="preserve">URL</t>
  </si>
  <si>
    <t xml:space="preserve">EIC Work Programme 2026, 2. Aenderung, angenommen 17.06.2026 (Annex C(2026) 4080), 209 Seiten</t>
  </si>
  <si>
    <t xml:space="preserve">A - Primaerquelle (PDF, Volltext ausgewertet)</t>
  </si>
  <si>
    <t xml:space="preserve">Alle EIC-Instrumente: Pathfinder Open/Challenges, Transition, Accelerator Open/Challenges, STEP Scale Up, STEP Defence, AIC, Seal of Excellence, Budgets, Fristen, Eligibility, Einreichungslimits</t>
  </si>
  <si>
    <t xml:space="preserve">https://eic.ec.europa.eu/system/files/2025-11/EIC-Work-Programme-2026.pdf</t>
  </si>
  <si>
    <t xml:space="preserve">Eurostars Eligibility Guidelines v5.3, Juni 2026, 12 Seiten</t>
  </si>
  <si>
    <t xml:space="preserve">Alle sieben Eurostars-Eligibility-Kriterien inkl. Rechenbeispielen zur 50-%- und 70-%-Regel, Laenderliste, SME-Definition, Zivilklausel</t>
  </si>
  <si>
    <t xml:space="preserve">https://www.eurekanetwork.org/wp-content/uploads/2026/07/eurostars-eligibility-guidelines.pdf</t>
  </si>
  <si>
    <t xml:space="preserve">EIC Accelerator Guide for Applicants, Version 6.0 (WP26)</t>
  </si>
  <si>
    <t xml:space="preserve">A - Primaerquelle (PDF)</t>
  </si>
  <si>
    <t xml:space="preserve">Accelerator-Antragsprozess (ergaenzend zum Work Programme)</t>
  </si>
  <si>
    <t xml:space="preserve">https://eic.ec.europa.eu/document/download/9d96fbf3-4d85-4ad0-9483-c77ce348111d_en</t>
  </si>
  <si>
    <t xml:space="preserve">Eureka Network - Eurostars Call 11</t>
  </si>
  <si>
    <t xml:space="preserve">Fristen Call 10 und Call 11</t>
  </si>
  <si>
    <t xml:space="preserve">https://www.eurekanetwork.org/programmes-and-calls/eurostars/eurostars-call-for-projects-september-2026/</t>
  </si>
  <si>
    <t xml:space="preserve">BMFTR - Eurostars (deutsche Foerderregeln)</t>
  </si>
  <si>
    <t xml:space="preserve">DE-Foerderquote 50 %, Deckel 500.000 EUR fuer alle dt. Partner, DLR Projekttraeger, Foerderung nur bis TRL 6, keine Foerderung dt. Grossunternehmen</t>
  </si>
  <si>
    <t xml:space="preserve">https://www.bmftr.bund.de/EN/Research/InternationalAffairs/Europe/Eurostars/eurostars_node.html</t>
  </si>
  <si>
    <t xml:space="preserve">EIC - EIC 2026 Work Programme (Uebersichtsseite)</t>
  </si>
  <si>
    <t xml:space="preserve">Budgetuebersicht je Instrument</t>
  </si>
  <si>
    <t xml:space="preserve">https://eic.ec.europa.eu/eic-funding-opportunities/eic-2026-work-programme_en</t>
  </si>
  <si>
    <t xml:space="preserve">zim.de - Befristeter Antragsstopp ab 07.07.2026</t>
  </si>
  <si>
    <t xml:space="preserve">ZIM-Antragsstopp, Ausnahme fuer internationale Calls, Ausblick 2027</t>
  </si>
  <si>
    <t xml:space="preserve">https://www.zim.de/ZIM/Redaktion/DE/Meldungen/2026/3/2026-07-07-befristeter-antragsstopp.html</t>
  </si>
  <si>
    <t xml:space="preserve">zim.de - FuE-Kooperationsprojekte</t>
  </si>
  <si>
    <t xml:space="preserve">ZIM-Foerdersaetze (55/50/45/40/30 %), Hoechstbetraege 560.000 / 280.000 / 3.000.000 EUR, Unternehmensgroessen</t>
  </si>
  <si>
    <t xml:space="preserve">https://www.zim.de/ZIM/Navigation/DE/Foerderangebote/Kooperationsprojekte/kooperationsprojekte.html</t>
  </si>
  <si>
    <t xml:space="preserve">EuroHPC JU - AI Factories und Access Modes</t>
  </si>
  <si>
    <t xml:space="preserve">Playground, Fast Lane (bis 50.000 GPU-Stunden), Large Scale Access, kostenfrei fuer KMU/Start-ups, 19 AI Factories und 13 Antennas</t>
  </si>
  <si>
    <t xml:space="preserve">https://www.eurohpc-ju.europa.eu/ai-factories_en</t>
  </si>
  <si>
    <t xml:space="preserve">Digital Europe Programme - Shaping Europe's digital future</t>
  </si>
  <si>
    <t xml:space="preserve">Budget 8,1 Mrd EUR 2021-2027, Themenfelder, Zielgruppen, EDIH</t>
  </si>
  <si>
    <t xml:space="preserve">https://digital-strategy.ec.europa.eu/en/activities/digital-programme</t>
  </si>
  <si>
    <t xml:space="preserve">Eureka Network - Globalstars</t>
  </si>
  <si>
    <t xml:space="preserve">Konsortialregeln Globalstars, 70-%-Regel, Zivilklausel</t>
  </si>
  <si>
    <t xml:space="preserve">https://www.eurekanetwork.org/programmes-and-calls/globalstars/</t>
  </si>
  <si>
    <t xml:space="preserve">ITEA 4 - Current Call</t>
  </si>
  <si>
    <t xml:space="preserve">ITEA 4 Call 2026: PO-Frist 02.11.2026, FPP-Frist 11.02.2027</t>
  </si>
  <si>
    <t xml:space="preserve">https://itea4.org/current-call.html</t>
  </si>
  <si>
    <t xml:space="preserve">EUDIS - SME Calls</t>
  </si>
  <si>
    <t xml:space="preserve">C - Sekundaer/Programmseite</t>
  </si>
  <si>
    <t xml:space="preserve">EDF/EUDIS Foerderhoehen (4 bzw. 6 Mio EUR), 100 % fuer Research Actions, Frist 29.09.2026, EUDIS-Anteil 23 % des EDF-Budgets</t>
  </si>
  <si>
    <t xml:space="preserve">https://eudis.europa.eu/eudis-tracks/sme-calls_en</t>
  </si>
  <si>
    <t xml:space="preserve">CINEA - Innovation Fund</t>
  </si>
  <si>
    <t xml:space="preserve">Innovation-Fund-Budgets und Frist 23.04.2026</t>
  </si>
  <si>
    <t xml:space="preserve">https://cinea.ec.europa.eu/programmes/innovation-fund_en</t>
  </si>
  <si>
    <t xml:space="preserve">EIB - Venture Debt</t>
  </si>
  <si>
    <t xml:space="preserve">Venture-Debt-Ticketgroessen 10-50 Mio EUR, foerderfaehige Innovationsfelder, ETCI 2.0</t>
  </si>
  <si>
    <t xml:space="preserve">https://www.eib.org/en/products/equity/venture-debt/index</t>
  </si>
  <si>
    <t xml:space="preserve">FZulG - Gesetz zur steuerlichen Foerderung von Forschung und Entwicklung</t>
  </si>
  <si>
    <t xml:space="preserve">A - Primaerquelle (Gesetzestext)</t>
  </si>
  <si>
    <t xml:space="preserve">Kumulierungsregel Paragraf 7 FZulG</t>
  </si>
  <si>
    <t xml:space="preserve">https://www.gesetze-im-internet.de/fzulg/BJNR276310019.html</t>
  </si>
  <si>
    <t xml:space="preserve">Horizon Europe Cluster 4 Work Programme 2026-2027 (Ideal-ist / FFG)</t>
  </si>
  <si>
    <t xml:space="preserve">Budgetvolumen 1,5 Mrd EUR bzw. 678,3 Mio EUR digital, Anzahl Calls, Themenfelder</t>
  </si>
  <si>
    <t xml:space="preserve">https://www.ideal-ist.eu/news/horizon-europe-cluster-4-work-programme-2026-2027-adopted</t>
  </si>
  <si>
    <t xml:space="preserve">BMFTR / VDI-VDE-IT - KMU-innovativ IKT</t>
  </si>
  <si>
    <t xml:space="preserve">C - Sekundaerquelle fuer Stichtag und Quote</t>
  </si>
  <si>
    <t xml:space="preserve">Stichtag 15.10.2026, Foerderquote bis 50 % bzw. 100 %, KI ausdruecklich foerderfaehig</t>
  </si>
  <si>
    <t xml:space="preserve">https://www.vdivde-it.de/de/kmu-innovativ-ikt</t>
  </si>
  <si>
    <t xml:space="preserve">EXIST - Handbuch EXIST-Forschungstransfer, 5. Auflage 2026</t>
  </si>
  <si>
    <t xml:space="preserve">C - nicht im Volltext geprueft</t>
  </si>
  <si>
    <t xml:space="preserve">EXIST-Forschungstransfer Rahmenbedingungen</t>
  </si>
  <si>
    <t xml:space="preserve">https://exist.de/wp-content/uploads/2024/10/260609_Handbuch_EFT_2026_barrierefrei.pdf</t>
  </si>
  <si>
    <t xml:space="preserve">ZIM-Foerderrichtlinie vom 28.11.2024, BAnz AT 11.12.2024 B1, 29 Seiten</t>
  </si>
  <si>
    <t xml:space="preserve">ZIM Nr. 5.2.1 Foerdersaetze (drei Spalten), Nr. 5.4.1 zuwendungsfaehige Kosten 690.000 / 560.000 / 280.000 EUR und Zuwendungsdeckel 3.000.000 EUR, Nr. 3.1.1 Antragsberechtigte, Begrenzung auf zwei Bewilligungen in zwoelf Monaten</t>
  </si>
  <si>
    <t xml:space="preserve">https://www.bundesanzeiger.de/pub/publication/H4hLAtOVVOn1N7yG6vR</t>
  </si>
  <si>
    <t xml:space="preserve">FZulG Paragraf 3 (Bemessungsgrundlage)</t>
  </si>
  <si>
    <t xml:space="preserve">12 Mio EUR ab 2026 (Abs. 5 Nr. 4) und die Regel, dass die Grenze bei verbundenen Unternehmen nur einmal insgesamt gilt (Abs. 6)</t>
  </si>
  <si>
    <t xml:space="preserve">https://www.gesetze-im-internet.de/fzulg/__3.html</t>
  </si>
  <si>
    <t xml:space="preserve">BAFA - INVEST Zuschuss fuer Wagniskapital</t>
  </si>
  <si>
    <t xml:space="preserve">25 % Erwerbszuschuss, max. 100.000 EUR je Investor und Jahr, Exitzuschuss, Befristung bis 31.12.2026</t>
  </si>
  <si>
    <t xml:space="preserve">https://www.bafa.de/DE/Wirtschaft/Beratung_Finanzierung/Invest/invest_node.html</t>
  </si>
  <si>
    <t xml:space="preserve">SPRIND - Next Frontier AI Challenge und Pressemitteilung vom 17.07.2026</t>
  </si>
  <si>
    <t xml:space="preserve">B - Offizielle Website und Pressemitteilung</t>
  </si>
  <si>
    <t xml:space="preserve">125 Mio EUR Gesamtvolumen, bis 26,5 Mio EUR je Team, Dreistufigkeit 3 / 8 / 15,5 Mio, Auswahl der zehn Teams am 17.07.2026</t>
  </si>
  <si>
    <t xml:space="preserve">https://www.sprind.org/en/actions/challenges/next-frontier-ai</t>
  </si>
  <si>
    <t xml:space="preserve">Eureka - Xecs Call 6 (Laenderliste und Fristen geprueft)</t>
  </si>
  <si>
    <t xml:space="preserve">B - Offizielle Call-Seite</t>
  </si>
  <si>
    <t xml:space="preserve">Deutschland nicht unter den teilnehmenden Laendern; Call-Oeffnung 23.06.2026, Project Outline 21.01.2027</t>
  </si>
  <si>
    <t xml:space="preserve">https://www.eurekanetwork.org/programmes-and-calls/eureka-clusters/xecs-call-6-2026/</t>
  </si>
  <si>
    <t xml:space="preserve">Diverse Sekundaerquellen (Beratungsportale)</t>
  </si>
  <si>
    <t xml:space="preserve">EXIST-Stipendiensaetze, INVEST-Konditionen, EIT Digital Open Innovation Factory, HTGF/DTCF - alle als 'C' markiert und vor Nutzung zu verifizieren</t>
  </si>
  <si>
    <t xml:space="preserve">-</t>
  </si>
</sst>
</file>

<file path=xl/styles.xml><?xml version="1.0" encoding="utf-8"?>
<styleSheet xmlns="http://schemas.openxmlformats.org/spreadsheetml/2006/main">
  <numFmts count="5">
    <numFmt numFmtId="164" formatCode="General"/>
    <numFmt numFmtId="165" formatCode="General"/>
    <numFmt numFmtId="166" formatCode="yyyy\-mm\-dd"/>
    <numFmt numFmtId="167" formatCode="0"/>
    <numFmt numFmtId="168" formatCode="0.0"/>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666666"/>
      <name val="Arial"/>
      <family val="0"/>
      <charset val="1"/>
    </font>
    <font>
      <b val="true"/>
      <sz val="11"/>
      <color rgb="FFFFFFFF"/>
      <name val="Arial"/>
      <family val="0"/>
      <charset val="1"/>
    </font>
    <font>
      <b val="true"/>
      <sz val="9"/>
      <name val="Arial"/>
      <family val="0"/>
      <charset val="1"/>
    </font>
    <font>
      <sz val="9"/>
      <name val="Arial"/>
      <family val="0"/>
      <charset val="1"/>
    </font>
    <font>
      <b val="true"/>
      <sz val="9"/>
      <color rgb="FF9C0006"/>
      <name val="Arial"/>
      <family val="0"/>
      <charset val="1"/>
    </font>
    <font>
      <b val="true"/>
      <sz val="12"/>
      <color rgb="FFFFFFFF"/>
      <name val="Arial"/>
      <family val="0"/>
      <charset val="1"/>
    </font>
    <font>
      <b val="true"/>
      <sz val="9"/>
      <color rgb="FFFFFFFF"/>
      <name val="Arial"/>
      <family val="0"/>
      <charset val="1"/>
    </font>
    <font>
      <b val="true"/>
      <sz val="10"/>
      <name val="Arial"/>
      <family val="0"/>
      <charset val="1"/>
    </font>
    <font>
      <b val="true"/>
      <sz val="9"/>
      <color rgb="FF0000FF"/>
      <name val="Arial"/>
      <family val="0"/>
      <charset val="1"/>
    </font>
    <font>
      <i val="true"/>
      <sz val="8"/>
      <color rgb="FF666666"/>
      <name val="Arial"/>
      <family val="0"/>
      <charset val="1"/>
    </font>
    <font>
      <i val="true"/>
      <sz val="9"/>
      <name val="Arial"/>
      <family val="0"/>
      <charset val="1"/>
    </font>
    <font>
      <u val="single"/>
      <sz val="9"/>
      <color rgb="FF0563C1"/>
      <name val="Arial"/>
      <family val="0"/>
      <charset val="1"/>
    </font>
  </fonts>
  <fills count="10">
    <fill>
      <patternFill patternType="none"/>
    </fill>
    <fill>
      <patternFill patternType="gray125"/>
    </fill>
    <fill>
      <patternFill patternType="solid">
        <fgColor rgb="FF2E5C8A"/>
        <bgColor rgb="FF0563C1"/>
      </patternFill>
    </fill>
    <fill>
      <patternFill patternType="solid">
        <fgColor rgb="FFE2EFDA"/>
        <bgColor rgb="FFDCE6F1"/>
      </patternFill>
    </fill>
    <fill>
      <patternFill patternType="solid">
        <fgColor rgb="FFFFF2CC"/>
        <bgColor rgb="FFFCE4E4"/>
      </patternFill>
    </fill>
    <fill>
      <patternFill patternType="solid">
        <fgColor rgb="FFFCE4E4"/>
        <bgColor rgb="FFF2F2F2"/>
      </patternFill>
    </fill>
    <fill>
      <patternFill patternType="solid">
        <fgColor rgb="FF1F3864"/>
        <bgColor rgb="FF2E5C8A"/>
      </patternFill>
    </fill>
    <fill>
      <patternFill patternType="solid">
        <fgColor rgb="FFF2F2F2"/>
        <bgColor rgb="FFE2EFDA"/>
      </patternFill>
    </fill>
    <fill>
      <patternFill patternType="solid">
        <fgColor rgb="FFDCE6F1"/>
        <bgColor rgb="FFE2EFDA"/>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center" textRotation="0" wrapText="false" indent="1"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6" fontId="13" fillId="9"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8" fillId="7"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13" fillId="9"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8" fontId="12" fillId="0" borderId="1" xfId="0" applyFont="true" applyBorder="true" applyAlignment="true" applyProtection="false">
      <alignment horizontal="center" vertical="top" textRotation="0" wrapText="true" indent="0" shrinkToFit="false"/>
      <protection locked="true" hidden="false"/>
    </xf>
    <xf numFmtId="165" fontId="12" fillId="7" borderId="1" xfId="0" applyFont="true" applyBorder="true" applyAlignment="true" applyProtection="false">
      <alignment horizontal="center" vertical="top" textRotation="0" wrapText="true" indent="0" shrinkToFit="false"/>
      <protection locked="true" hidden="false"/>
    </xf>
    <xf numFmtId="168" fontId="12" fillId="7"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7"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DCE6F1"/>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BF8F00"/>
      <rgbColor rgb="FFFF6600"/>
      <rgbColor rgb="FF666666"/>
      <rgbColor rgb="FF969696"/>
      <rgbColor rgb="FF1F3864"/>
      <rgbColor rgb="FF339966"/>
      <rgbColor rgb="FF003300"/>
      <rgbColor rgb="FF333300"/>
      <rgbColor rgb="FF993300"/>
      <rgbColor rgb="FF993366"/>
      <rgbColor rgb="FF2E5C8A"/>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eic.ec.europa.eu/system/files/2025-11/EIC-Work-Programme-2026.pdf" TargetMode="External"/><Relationship Id="rId2" Type="http://schemas.openxmlformats.org/officeDocument/2006/relationships/hyperlink" Target="https://www.eurekanetwork.org/wp-content/uploads/2026/07/eurostars-eligibility-guidelines.pdf" TargetMode="External"/><Relationship Id="rId3" Type="http://schemas.openxmlformats.org/officeDocument/2006/relationships/hyperlink" Target="https://eic.ec.europa.eu/document/download/9d96fbf3-4d85-4ad0-9483-c77ce348111d_en" TargetMode="External"/><Relationship Id="rId4" Type="http://schemas.openxmlformats.org/officeDocument/2006/relationships/hyperlink" Target="https://www.eurekanetwork.org/programmes-and-calls/eurostars/eurostars-call-for-projects-september-2026/" TargetMode="External"/><Relationship Id="rId5" Type="http://schemas.openxmlformats.org/officeDocument/2006/relationships/hyperlink" Target="https://www.bmftr.bund.de/EN/Research/InternationalAffairs/Europe/Eurostars/eurostars_node.html" TargetMode="External"/><Relationship Id="rId6" Type="http://schemas.openxmlformats.org/officeDocument/2006/relationships/hyperlink" Target="https://eic.ec.europa.eu/eic-funding-opportunities/eic-2026-work-programme_en" TargetMode="External"/><Relationship Id="rId7" Type="http://schemas.openxmlformats.org/officeDocument/2006/relationships/hyperlink" Target="https://www.zim.de/ZIM/Redaktion/DE/Meldungen/2026/3/2026-07-07-befristeter-antragsstopp.html" TargetMode="External"/><Relationship Id="rId8" Type="http://schemas.openxmlformats.org/officeDocument/2006/relationships/hyperlink" Target="https://www.zim.de/ZIM/Navigation/DE/Foerderangebote/Kooperationsprojekte/kooperationsprojekte.html" TargetMode="External"/><Relationship Id="rId9" Type="http://schemas.openxmlformats.org/officeDocument/2006/relationships/hyperlink" Target="https://www.eurohpc-ju.europa.eu/ai-factories_en" TargetMode="External"/><Relationship Id="rId10" Type="http://schemas.openxmlformats.org/officeDocument/2006/relationships/hyperlink" Target="https://digital-strategy.ec.europa.eu/en/activities/digital-programme" TargetMode="External"/><Relationship Id="rId11" Type="http://schemas.openxmlformats.org/officeDocument/2006/relationships/hyperlink" Target="https://www.eurekanetwork.org/programmes-and-calls/globalstars/" TargetMode="External"/><Relationship Id="rId12" Type="http://schemas.openxmlformats.org/officeDocument/2006/relationships/hyperlink" Target="https://itea4.org/current-call.html" TargetMode="External"/><Relationship Id="rId13" Type="http://schemas.openxmlformats.org/officeDocument/2006/relationships/hyperlink" Target="https://eudis.europa.eu/eudis-tracks/sme-calls_en" TargetMode="External"/><Relationship Id="rId14" Type="http://schemas.openxmlformats.org/officeDocument/2006/relationships/hyperlink" Target="https://cinea.ec.europa.eu/programmes/innovation-fund_en" TargetMode="External"/><Relationship Id="rId15" Type="http://schemas.openxmlformats.org/officeDocument/2006/relationships/hyperlink" Target="https://www.eib.org/en/products/equity/venture-debt/index" TargetMode="External"/><Relationship Id="rId16" Type="http://schemas.openxmlformats.org/officeDocument/2006/relationships/hyperlink" Target="https://www.gesetze-im-internet.de/fzulg/BJNR276310019.html" TargetMode="External"/><Relationship Id="rId17" Type="http://schemas.openxmlformats.org/officeDocument/2006/relationships/hyperlink" Target="https://www.ideal-ist.eu/news/horizon-europe-cluster-4-work-programme-2026-2027-adopted" TargetMode="External"/><Relationship Id="rId18" Type="http://schemas.openxmlformats.org/officeDocument/2006/relationships/hyperlink" Target="https://www.vdivde-it.de/de/kmu-innovativ-ikt" TargetMode="External"/><Relationship Id="rId19" Type="http://schemas.openxmlformats.org/officeDocument/2006/relationships/hyperlink" Target="https://exist.de/wp-content/uploads/2024/10/260609_Handbuch_EFT_2026_barrierefrei.pdf" TargetMode="External"/><Relationship Id="rId20" Type="http://schemas.openxmlformats.org/officeDocument/2006/relationships/hyperlink" Target="https://www.bundesanzeiger.de/pub/publication/H4hLAtOVVOn1N7yG6vR" TargetMode="External"/><Relationship Id="rId21" Type="http://schemas.openxmlformats.org/officeDocument/2006/relationships/hyperlink" Target="https://www.gesetze-im-internet.de/fzulg/__3.html" TargetMode="External"/><Relationship Id="rId22" Type="http://schemas.openxmlformats.org/officeDocument/2006/relationships/hyperlink" Target="https://www.bafa.de/DE/Wirtschaft/Beratung_Finanzierung/Invest/invest_node.html" TargetMode="External"/><Relationship Id="rId23" Type="http://schemas.openxmlformats.org/officeDocument/2006/relationships/hyperlink" Target="https://www.sprind.org/en/actions/challenges/next-frontier-ai" TargetMode="External"/><Relationship Id="rId24" Type="http://schemas.openxmlformats.org/officeDocument/2006/relationships/hyperlink" Target="https://www.eurekanetwork.org/programmes-and-calls/eureka-clusters/xecs-call-6-202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18"/>
  </cols>
  <sheetData>
    <row r="1" customFormat="false" ht="24" hidden="false" customHeight="true" outlineLevel="0" collapsed="false">
      <c r="B1" s="1" t="s">
        <v>0</v>
      </c>
      <c r="C1" s="1"/>
    </row>
    <row r="2" customFormat="false" ht="15" hidden="false" customHeight="false" outlineLevel="0" collapsed="false">
      <c r="B2" s="2" t="s">
        <v>1</v>
      </c>
      <c r="C2" s="2"/>
    </row>
    <row r="4" customFormat="false" ht="19.5" hidden="false" customHeight="true" outlineLevel="0" collapsed="false">
      <c r="B4" s="3" t="s">
        <v>2</v>
      </c>
      <c r="C4" s="3"/>
    </row>
    <row r="5" customFormat="false" ht="13.5" hidden="false" customHeight="true" outlineLevel="0" collapsed="false">
      <c r="B5" s="4" t="s">
        <v>3</v>
      </c>
      <c r="C5" s="5" t="s">
        <v>4</v>
      </c>
    </row>
    <row r="6" customFormat="false" ht="24" hidden="false" customHeight="true" outlineLevel="0" collapsed="false">
      <c r="B6" s="4" t="s">
        <v>5</v>
      </c>
      <c r="C6" s="5" t="s">
        <v>6</v>
      </c>
    </row>
    <row r="7" customFormat="false" ht="13.5" hidden="false" customHeight="true" outlineLevel="0" collapsed="false">
      <c r="B7" s="4" t="s">
        <v>7</v>
      </c>
      <c r="C7" s="5" t="s">
        <v>8</v>
      </c>
    </row>
    <row r="8" customFormat="false" ht="13.5" hidden="false" customHeight="true" outlineLevel="0" collapsed="false">
      <c r="B8" s="4" t="s">
        <v>9</v>
      </c>
      <c r="C8" s="5" t="s">
        <v>10</v>
      </c>
    </row>
    <row r="9" customFormat="false" ht="13.5" hidden="false" customHeight="true" outlineLevel="0" collapsed="false">
      <c r="B9" s="4" t="s">
        <v>11</v>
      </c>
      <c r="C9" s="5" t="s">
        <v>12</v>
      </c>
    </row>
    <row r="11" customFormat="false" ht="19.5" hidden="false" customHeight="true" outlineLevel="0" collapsed="false">
      <c r="B11" s="3" t="s">
        <v>13</v>
      </c>
      <c r="C11" s="3"/>
    </row>
    <row r="12" customFormat="false" ht="24" hidden="false" customHeight="true" outlineLevel="0" collapsed="false">
      <c r="B12" s="6" t="s">
        <v>14</v>
      </c>
      <c r="C12" s="7" t="s">
        <v>15</v>
      </c>
    </row>
    <row r="13" customFormat="false" ht="13.5" hidden="false" customHeight="true" outlineLevel="0" collapsed="false">
      <c r="B13" s="6" t="s">
        <v>16</v>
      </c>
      <c r="C13" s="7" t="s">
        <v>17</v>
      </c>
    </row>
    <row r="14" customFormat="false" ht="24" hidden="false" customHeight="true" outlineLevel="0" collapsed="false">
      <c r="B14" s="8" t="s">
        <v>18</v>
      </c>
      <c r="C14" s="9" t="s">
        <v>19</v>
      </c>
    </row>
    <row r="16" customFormat="false" ht="19.5" hidden="false" customHeight="true" outlineLevel="0" collapsed="false">
      <c r="B16" s="3" t="s">
        <v>20</v>
      </c>
      <c r="C16" s="3"/>
    </row>
    <row r="17" customFormat="false" ht="36" hidden="false" customHeight="true" outlineLevel="0" collapsed="false">
      <c r="B17" s="4" t="s">
        <v>21</v>
      </c>
      <c r="C17" s="5" t="s">
        <v>22</v>
      </c>
    </row>
    <row r="18" customFormat="false" ht="36" hidden="false" customHeight="true" outlineLevel="0" collapsed="false">
      <c r="B18" s="4" t="s">
        <v>23</v>
      </c>
      <c r="C18" s="5" t="s">
        <v>24</v>
      </c>
    </row>
    <row r="19" customFormat="false" ht="36" hidden="false" customHeight="true" outlineLevel="0" collapsed="false">
      <c r="B19" s="4" t="s">
        <v>25</v>
      </c>
      <c r="C19" s="5" t="s">
        <v>26</v>
      </c>
    </row>
    <row r="20" customFormat="false" ht="48" hidden="false" customHeight="true" outlineLevel="0" collapsed="false">
      <c r="B20" s="4" t="s">
        <v>27</v>
      </c>
      <c r="C20" s="5" t="s">
        <v>28</v>
      </c>
    </row>
    <row r="21" customFormat="false" ht="36" hidden="false" customHeight="true" outlineLevel="0" collapsed="false">
      <c r="B21" s="4" t="s">
        <v>29</v>
      </c>
      <c r="C21" s="5" t="s">
        <v>30</v>
      </c>
    </row>
    <row r="23" customFormat="false" ht="19.5" hidden="false" customHeight="true" outlineLevel="0" collapsed="false">
      <c r="B23" s="3" t="s">
        <v>31</v>
      </c>
      <c r="C23" s="3"/>
    </row>
    <row r="24" customFormat="false" ht="36" hidden="false" customHeight="true" outlineLevel="0" collapsed="false">
      <c r="B24" s="10" t="s">
        <v>32</v>
      </c>
      <c r="C24" s="11" t="s">
        <v>33</v>
      </c>
    </row>
    <row r="26" customFormat="false" ht="19.5" hidden="false" customHeight="true" outlineLevel="0" collapsed="false">
      <c r="B26" s="3" t="s">
        <v>34</v>
      </c>
      <c r="C26" s="3"/>
    </row>
    <row r="27" customFormat="false" ht="36" hidden="false" customHeight="true" outlineLevel="0" collapsed="false">
      <c r="B27" s="8" t="s">
        <v>35</v>
      </c>
      <c r="C27" s="9" t="s">
        <v>36</v>
      </c>
    </row>
    <row r="28" customFormat="false" ht="36" hidden="false" customHeight="true" outlineLevel="0" collapsed="false">
      <c r="B28" s="4" t="s">
        <v>37</v>
      </c>
      <c r="C28" s="5" t="s">
        <v>38</v>
      </c>
    </row>
    <row r="29" customFormat="false" ht="24" hidden="false" customHeight="true" outlineLevel="0" collapsed="false">
      <c r="B29" s="4" t="s">
        <v>39</v>
      </c>
      <c r="C29" s="5" t="s">
        <v>40</v>
      </c>
    </row>
    <row r="30" customFormat="false" ht="24" hidden="false" customHeight="true" outlineLevel="0" collapsed="false">
      <c r="B30" s="4" t="s">
        <v>41</v>
      </c>
      <c r="C30" s="5" t="s">
        <v>42</v>
      </c>
    </row>
    <row r="31" customFormat="false" ht="36" hidden="false" customHeight="true" outlineLevel="0" collapsed="false">
      <c r="B31" s="4" t="s">
        <v>43</v>
      </c>
      <c r="C31" s="5" t="s">
        <v>44</v>
      </c>
    </row>
    <row r="32" customFormat="false" ht="36" hidden="false" customHeight="true" outlineLevel="0" collapsed="false">
      <c r="B32" s="4" t="s">
        <v>45</v>
      </c>
      <c r="C32" s="5" t="s">
        <v>46</v>
      </c>
    </row>
    <row r="33" customFormat="false" ht="24" hidden="false" customHeight="true" outlineLevel="0" collapsed="false">
      <c r="B33" s="4" t="s">
        <v>47</v>
      </c>
      <c r="C33" s="5" t="s">
        <v>48</v>
      </c>
    </row>
    <row r="34" customFormat="false" ht="13.5" hidden="false" customHeight="true" outlineLevel="0" collapsed="false">
      <c r="B34" s="4" t="s">
        <v>49</v>
      </c>
      <c r="C34" s="5" t="s">
        <v>50</v>
      </c>
    </row>
    <row r="35" customFormat="false" ht="24" hidden="false" customHeight="true" outlineLevel="0" collapsed="false">
      <c r="B35" s="4" t="s">
        <v>51</v>
      </c>
      <c r="C35" s="5" t="s">
        <v>52</v>
      </c>
    </row>
    <row r="36" customFormat="false" ht="24" hidden="false" customHeight="true" outlineLevel="0" collapsed="false">
      <c r="B36" s="6" t="s">
        <v>53</v>
      </c>
      <c r="C36" s="7" t="s">
        <v>54</v>
      </c>
    </row>
    <row r="38" customFormat="false" ht="19.5" hidden="false" customHeight="true" outlineLevel="0" collapsed="false">
      <c r="B38" s="3" t="s">
        <v>55</v>
      </c>
      <c r="C38" s="3"/>
    </row>
    <row r="39" customFormat="false" ht="24" hidden="false" customHeight="true" outlineLevel="0" collapsed="false">
      <c r="B39" s="4" t="s">
        <v>56</v>
      </c>
      <c r="C39" s="5" t="s">
        <v>57</v>
      </c>
    </row>
    <row r="40" customFormat="false" ht="24" hidden="false" customHeight="true" outlineLevel="0" collapsed="false">
      <c r="B40" s="4" t="s">
        <v>58</v>
      </c>
      <c r="C40" s="5" t="s">
        <v>59</v>
      </c>
    </row>
    <row r="41" customFormat="false" ht="24" hidden="false" customHeight="true" outlineLevel="0" collapsed="false">
      <c r="B41" s="4" t="s">
        <v>60</v>
      </c>
      <c r="C41" s="5" t="s">
        <v>61</v>
      </c>
    </row>
    <row r="42" customFormat="false" ht="24" hidden="false" customHeight="true" outlineLevel="0" collapsed="false">
      <c r="B42" s="4" t="s">
        <v>62</v>
      </c>
      <c r="C42" s="5" t="s">
        <v>63</v>
      </c>
    </row>
    <row r="44" customFormat="false" ht="15" hidden="false" customHeight="false" outlineLevel="0" collapsed="false">
      <c r="B44" s="12" t="s">
        <v>64</v>
      </c>
      <c r="C44" s="13" t="n">
        <f aca="false">COUNTA(01_EU_Programme!B3:B100)+COUNTA(02_DE_Programme!B3:B100)</f>
        <v>35</v>
      </c>
    </row>
    <row r="45" customFormat="false" ht="15" hidden="false" customHeight="false" outlineLevel="0" collapsed="false">
      <c r="B45" s="12" t="s">
        <v>65</v>
      </c>
      <c r="C45" s="13" t="n">
        <f aca="false">COUNTIF(01_EU_Programme!P3:P100,"A*")+COUNTIF(02_DE_Programme!P3:P100,"A*")</f>
        <v>13</v>
      </c>
    </row>
  </sheetData>
  <mergeCells count="8">
    <mergeCell ref="B1:C1"/>
    <mergeCell ref="B2:C2"/>
    <mergeCell ref="B4:C4"/>
    <mergeCell ref="B11:C11"/>
    <mergeCell ref="B16:C16"/>
    <mergeCell ref="B23:C23"/>
    <mergeCell ref="B26:C26"/>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7"/>
    <col collapsed="false" customWidth="true" hidden="false" outlineLevel="0" max="3" min="3" style="0" width="18"/>
    <col collapsed="false" customWidth="true" hidden="false" outlineLevel="0" max="4" min="4" style="0" width="15"/>
    <col collapsed="false" customWidth="true" hidden="false" outlineLevel="0" max="5" min="5" style="0" width="30"/>
    <col collapsed="false" customWidth="true" hidden="false" outlineLevel="0" max="6" min="6" style="0" width="20"/>
    <col collapsed="false" customWidth="true" hidden="false" outlineLevel="0" max="7" min="7" style="0" width="34"/>
    <col collapsed="false" customWidth="true" hidden="false" outlineLevel="0" max="8" min="8" style="0" width="27"/>
    <col collapsed="false" customWidth="true" hidden="false" outlineLevel="0" max="9" min="9" style="0" width="24"/>
    <col collapsed="false" customWidth="true" hidden="false" outlineLevel="0" max="10" min="10" style="0" width="15"/>
    <col collapsed="false" customWidth="true" hidden="false" outlineLevel="0" max="11" min="11" style="0" width="30"/>
    <col collapsed="false" customWidth="true" hidden="false" outlineLevel="0" max="12" min="12" style="0" width="58"/>
    <col collapsed="false" customWidth="true" hidden="false" outlineLevel="0" max="13" min="13" style="0" width="52"/>
    <col collapsed="false" customWidth="true" hidden="false" outlineLevel="0" max="15" min="14" style="0" width="8"/>
    <col collapsed="false" customWidth="true" hidden="false" outlineLevel="0" max="16" min="16" style="0" width="20"/>
    <col collapsed="false" customWidth="true" hidden="false" outlineLevel="0" max="17" min="17" style="0" width="46"/>
  </cols>
  <sheetData>
    <row r="1" customFormat="false" ht="21.75" hidden="false" customHeight="true" outlineLevel="0" collapsed="false">
      <c r="A1" s="14" t="s">
        <v>66</v>
      </c>
      <c r="B1" s="14"/>
      <c r="C1" s="14"/>
      <c r="D1" s="14"/>
      <c r="E1" s="14"/>
      <c r="F1" s="14"/>
      <c r="G1" s="14"/>
      <c r="H1" s="14"/>
      <c r="I1" s="14"/>
      <c r="J1" s="14"/>
      <c r="K1" s="14"/>
      <c r="L1" s="14"/>
      <c r="M1" s="14"/>
      <c r="N1" s="14"/>
      <c r="O1" s="14"/>
      <c r="P1" s="14"/>
      <c r="Q1" s="14"/>
    </row>
    <row r="2" customFormat="false" ht="33.75" hidden="false" customHeight="true" outlineLevel="0" collapsed="false">
      <c r="A2" s="15" t="s">
        <v>67</v>
      </c>
      <c r="B2" s="15" t="s">
        <v>68</v>
      </c>
      <c r="C2" s="15" t="s">
        <v>69</v>
      </c>
      <c r="D2" s="15" t="s">
        <v>70</v>
      </c>
      <c r="E2" s="15" t="s">
        <v>71</v>
      </c>
      <c r="F2" s="15" t="s">
        <v>72</v>
      </c>
      <c r="G2" s="15" t="s">
        <v>73</v>
      </c>
      <c r="H2" s="15" t="s">
        <v>74</v>
      </c>
      <c r="I2" s="15" t="s">
        <v>75</v>
      </c>
      <c r="J2" s="15" t="s">
        <v>76</v>
      </c>
      <c r="K2" s="15" t="s">
        <v>77</v>
      </c>
      <c r="L2" s="15" t="s">
        <v>78</v>
      </c>
      <c r="M2" s="15" t="s">
        <v>79</v>
      </c>
      <c r="N2" s="15" t="s">
        <v>80</v>
      </c>
      <c r="O2" s="15" t="s">
        <v>81</v>
      </c>
      <c r="P2" s="15" t="s">
        <v>82</v>
      </c>
      <c r="Q2" s="15" t="s">
        <v>83</v>
      </c>
    </row>
    <row r="3" customFormat="false" ht="132" hidden="false" customHeight="true" outlineLevel="0" collapsed="false">
      <c r="A3" s="16" t="n">
        <v>1</v>
      </c>
      <c r="B3" s="17" t="s">
        <v>84</v>
      </c>
      <c r="C3" s="18" t="s">
        <v>85</v>
      </c>
      <c r="D3" s="18" t="s">
        <v>86</v>
      </c>
      <c r="E3" s="18" t="s">
        <v>87</v>
      </c>
      <c r="F3" s="18" t="s">
        <v>88</v>
      </c>
      <c r="G3" s="18" t="s">
        <v>89</v>
      </c>
      <c r="H3" s="18" t="s">
        <v>90</v>
      </c>
      <c r="I3" s="18" t="s">
        <v>91</v>
      </c>
      <c r="J3" s="18" t="s">
        <v>92</v>
      </c>
      <c r="K3" s="18" t="s">
        <v>93</v>
      </c>
      <c r="L3" s="18" t="s">
        <v>94</v>
      </c>
      <c r="M3" s="18" t="s">
        <v>95</v>
      </c>
      <c r="N3" s="19" t="n">
        <v>5</v>
      </c>
      <c r="O3" s="20" t="n">
        <v>3</v>
      </c>
      <c r="P3" s="21" t="s">
        <v>96</v>
      </c>
      <c r="Q3" s="18" t="s">
        <v>97</v>
      </c>
    </row>
    <row r="4" customFormat="false" ht="86.25" hidden="false" customHeight="true" outlineLevel="0" collapsed="false">
      <c r="A4" s="22" t="n">
        <v>2</v>
      </c>
      <c r="B4" s="23" t="s">
        <v>98</v>
      </c>
      <c r="C4" s="24" t="s">
        <v>99</v>
      </c>
      <c r="D4" s="24" t="s">
        <v>100</v>
      </c>
      <c r="E4" s="24" t="s">
        <v>101</v>
      </c>
      <c r="F4" s="24" t="s">
        <v>102</v>
      </c>
      <c r="G4" s="24" t="s">
        <v>103</v>
      </c>
      <c r="H4" s="24" t="s">
        <v>104</v>
      </c>
      <c r="I4" s="24" t="s">
        <v>105</v>
      </c>
      <c r="J4" s="24" t="s">
        <v>106</v>
      </c>
      <c r="K4" s="24" t="s">
        <v>107</v>
      </c>
      <c r="L4" s="24" t="s">
        <v>108</v>
      </c>
      <c r="M4" s="24" t="s">
        <v>109</v>
      </c>
      <c r="N4" s="20" t="n">
        <v>3</v>
      </c>
      <c r="O4" s="25" t="n">
        <v>4</v>
      </c>
      <c r="P4" s="21" t="s">
        <v>110</v>
      </c>
      <c r="Q4" s="24" t="s">
        <v>111</v>
      </c>
    </row>
    <row r="5" customFormat="false" ht="120.75" hidden="false" customHeight="true" outlineLevel="0" collapsed="false">
      <c r="A5" s="16" t="n">
        <v>3</v>
      </c>
      <c r="B5" s="17" t="s">
        <v>112</v>
      </c>
      <c r="C5" s="18" t="s">
        <v>113</v>
      </c>
      <c r="D5" s="18" t="s">
        <v>100</v>
      </c>
      <c r="E5" s="18" t="s">
        <v>114</v>
      </c>
      <c r="F5" s="18" t="s">
        <v>115</v>
      </c>
      <c r="G5" s="18" t="s">
        <v>116</v>
      </c>
      <c r="H5" s="18" t="s">
        <v>117</v>
      </c>
      <c r="I5" s="18" t="s">
        <v>118</v>
      </c>
      <c r="J5" s="18" t="s">
        <v>119</v>
      </c>
      <c r="K5" s="18" t="s">
        <v>120</v>
      </c>
      <c r="L5" s="18" t="s">
        <v>121</v>
      </c>
      <c r="M5" s="18" t="s">
        <v>122</v>
      </c>
      <c r="N5" s="19" t="n">
        <v>4</v>
      </c>
      <c r="O5" s="25" t="n">
        <v>4</v>
      </c>
      <c r="P5" s="21" t="s">
        <v>110</v>
      </c>
      <c r="Q5" s="18" t="s">
        <v>111</v>
      </c>
    </row>
    <row r="6" customFormat="false" ht="282" hidden="false" customHeight="true" outlineLevel="0" collapsed="false">
      <c r="A6" s="22" t="n">
        <v>4</v>
      </c>
      <c r="B6" s="23" t="s">
        <v>123</v>
      </c>
      <c r="C6" s="24" t="s">
        <v>113</v>
      </c>
      <c r="D6" s="24" t="s">
        <v>100</v>
      </c>
      <c r="E6" s="24" t="s">
        <v>124</v>
      </c>
      <c r="F6" s="24" t="s">
        <v>125</v>
      </c>
      <c r="G6" s="24" t="s">
        <v>126</v>
      </c>
      <c r="H6" s="24" t="s">
        <v>127</v>
      </c>
      <c r="I6" s="24" t="s">
        <v>118</v>
      </c>
      <c r="J6" s="24" t="s">
        <v>128</v>
      </c>
      <c r="K6" s="24" t="s">
        <v>129</v>
      </c>
      <c r="L6" s="24" t="s">
        <v>130</v>
      </c>
      <c r="M6" s="24" t="s">
        <v>131</v>
      </c>
      <c r="N6" s="20" t="n">
        <v>3</v>
      </c>
      <c r="O6" s="20" t="n">
        <v>3</v>
      </c>
      <c r="P6" s="21" t="s">
        <v>110</v>
      </c>
      <c r="Q6" s="24" t="s">
        <v>111</v>
      </c>
    </row>
    <row r="7" customFormat="false" ht="166.5" hidden="false" customHeight="true" outlineLevel="0" collapsed="false">
      <c r="A7" s="16" t="n">
        <v>5</v>
      </c>
      <c r="B7" s="17" t="s">
        <v>132</v>
      </c>
      <c r="C7" s="18" t="s">
        <v>133</v>
      </c>
      <c r="D7" s="18" t="s">
        <v>134</v>
      </c>
      <c r="E7" s="18" t="s">
        <v>135</v>
      </c>
      <c r="F7" s="18" t="s">
        <v>136</v>
      </c>
      <c r="G7" s="18" t="s">
        <v>137</v>
      </c>
      <c r="H7" s="18" t="s">
        <v>138</v>
      </c>
      <c r="I7" s="18" t="s">
        <v>139</v>
      </c>
      <c r="J7" s="18" t="s">
        <v>140</v>
      </c>
      <c r="K7" s="18" t="s">
        <v>141</v>
      </c>
      <c r="L7" s="18" t="s">
        <v>142</v>
      </c>
      <c r="M7" s="18" t="s">
        <v>143</v>
      </c>
      <c r="N7" s="19" t="n">
        <v>5</v>
      </c>
      <c r="O7" s="25" t="n">
        <v>5</v>
      </c>
      <c r="P7" s="21" t="s">
        <v>110</v>
      </c>
      <c r="Q7" s="18" t="s">
        <v>111</v>
      </c>
    </row>
    <row r="8" customFormat="false" ht="75" hidden="false" customHeight="true" outlineLevel="0" collapsed="false">
      <c r="A8" s="22" t="n">
        <v>6</v>
      </c>
      <c r="B8" s="23" t="s">
        <v>144</v>
      </c>
      <c r="C8" s="24" t="s">
        <v>133</v>
      </c>
      <c r="D8" s="24" t="s">
        <v>145</v>
      </c>
      <c r="E8" s="24" t="s">
        <v>146</v>
      </c>
      <c r="F8" s="24" t="s">
        <v>147</v>
      </c>
      <c r="G8" s="24" t="s">
        <v>148</v>
      </c>
      <c r="H8" s="24" t="s">
        <v>149</v>
      </c>
      <c r="I8" s="24" t="s">
        <v>150</v>
      </c>
      <c r="J8" s="24" t="s">
        <v>151</v>
      </c>
      <c r="K8" s="24" t="s">
        <v>152</v>
      </c>
      <c r="L8" s="24" t="s">
        <v>153</v>
      </c>
      <c r="M8" s="24" t="s">
        <v>154</v>
      </c>
      <c r="N8" s="20" t="n">
        <v>3</v>
      </c>
      <c r="O8" s="25" t="n">
        <v>5</v>
      </c>
      <c r="P8" s="21" t="s">
        <v>110</v>
      </c>
      <c r="Q8" s="24" t="s">
        <v>111</v>
      </c>
    </row>
    <row r="9" customFormat="false" ht="132" hidden="false" customHeight="true" outlineLevel="0" collapsed="false">
      <c r="A9" s="16" t="n">
        <v>7</v>
      </c>
      <c r="B9" s="17" t="s">
        <v>155</v>
      </c>
      <c r="C9" s="18" t="s">
        <v>156</v>
      </c>
      <c r="D9" s="18" t="s">
        <v>157</v>
      </c>
      <c r="E9" s="18" t="s">
        <v>158</v>
      </c>
      <c r="F9" s="18" t="s">
        <v>159</v>
      </c>
      <c r="G9" s="18" t="s">
        <v>160</v>
      </c>
      <c r="H9" s="18" t="s">
        <v>161</v>
      </c>
      <c r="I9" s="18" t="s">
        <v>162</v>
      </c>
      <c r="J9" s="18" t="s">
        <v>163</v>
      </c>
      <c r="K9" s="18" t="s">
        <v>164</v>
      </c>
      <c r="L9" s="18" t="s">
        <v>165</v>
      </c>
      <c r="M9" s="18" t="s">
        <v>166</v>
      </c>
      <c r="N9" s="25" t="n">
        <v>2</v>
      </c>
      <c r="O9" s="25" t="n">
        <v>4</v>
      </c>
      <c r="P9" s="21" t="s">
        <v>110</v>
      </c>
      <c r="Q9" s="18" t="s">
        <v>111</v>
      </c>
    </row>
    <row r="10" customFormat="false" ht="63" hidden="false" customHeight="true" outlineLevel="0" collapsed="false">
      <c r="A10" s="22" t="n">
        <v>8</v>
      </c>
      <c r="B10" s="23" t="s">
        <v>167</v>
      </c>
      <c r="C10" s="24" t="s">
        <v>156</v>
      </c>
      <c r="D10" s="24" t="s">
        <v>168</v>
      </c>
      <c r="E10" s="24" t="s">
        <v>169</v>
      </c>
      <c r="F10" s="24" t="s">
        <v>170</v>
      </c>
      <c r="G10" s="24" t="s">
        <v>160</v>
      </c>
      <c r="H10" s="24" t="s">
        <v>171</v>
      </c>
      <c r="I10" s="24" t="s">
        <v>172</v>
      </c>
      <c r="J10" s="24" t="s">
        <v>173</v>
      </c>
      <c r="K10" s="24" t="s">
        <v>174</v>
      </c>
      <c r="L10" s="24" t="s">
        <v>175</v>
      </c>
      <c r="M10" s="24" t="s">
        <v>176</v>
      </c>
      <c r="N10" s="25" t="n">
        <v>1</v>
      </c>
      <c r="O10" s="25" t="n">
        <v>4</v>
      </c>
      <c r="P10" s="21" t="s">
        <v>110</v>
      </c>
      <c r="Q10" s="24" t="s">
        <v>111</v>
      </c>
    </row>
    <row r="11" customFormat="false" ht="109.5" hidden="false" customHeight="true" outlineLevel="0" collapsed="false">
      <c r="A11" s="16" t="n">
        <v>9</v>
      </c>
      <c r="B11" s="17" t="s">
        <v>177</v>
      </c>
      <c r="C11" s="18" t="s">
        <v>113</v>
      </c>
      <c r="D11" s="18" t="s">
        <v>178</v>
      </c>
      <c r="E11" s="18" t="s">
        <v>179</v>
      </c>
      <c r="F11" s="18" t="s">
        <v>180</v>
      </c>
      <c r="G11" s="18" t="s">
        <v>181</v>
      </c>
      <c r="H11" s="18" t="s">
        <v>182</v>
      </c>
      <c r="I11" s="18" t="s">
        <v>183</v>
      </c>
      <c r="J11" s="18" t="s">
        <v>184</v>
      </c>
      <c r="K11" s="18" t="s">
        <v>185</v>
      </c>
      <c r="L11" s="18" t="s">
        <v>186</v>
      </c>
      <c r="M11" s="18" t="s">
        <v>187</v>
      </c>
      <c r="N11" s="25" t="n">
        <v>2</v>
      </c>
      <c r="O11" s="19" t="n">
        <v>2</v>
      </c>
      <c r="P11" s="21" t="s">
        <v>110</v>
      </c>
      <c r="Q11" s="18" t="s">
        <v>111</v>
      </c>
    </row>
    <row r="12" customFormat="false" ht="109.5" hidden="false" customHeight="true" outlineLevel="0" collapsed="false">
      <c r="A12" s="22" t="n">
        <v>10</v>
      </c>
      <c r="B12" s="23" t="s">
        <v>188</v>
      </c>
      <c r="C12" s="24" t="s">
        <v>189</v>
      </c>
      <c r="D12" s="24" t="s">
        <v>190</v>
      </c>
      <c r="E12" s="24" t="s">
        <v>191</v>
      </c>
      <c r="F12" s="24" t="s">
        <v>192</v>
      </c>
      <c r="G12" s="24" t="s">
        <v>193</v>
      </c>
      <c r="H12" s="24" t="s">
        <v>194</v>
      </c>
      <c r="I12" s="24" t="s">
        <v>195</v>
      </c>
      <c r="J12" s="24" t="s">
        <v>196</v>
      </c>
      <c r="K12" s="24" t="s">
        <v>197</v>
      </c>
      <c r="L12" s="24" t="s">
        <v>198</v>
      </c>
      <c r="M12" s="24" t="s">
        <v>199</v>
      </c>
      <c r="N12" s="20" t="n">
        <v>3</v>
      </c>
      <c r="O12" s="25" t="n">
        <v>5</v>
      </c>
      <c r="P12" s="26" t="s">
        <v>200</v>
      </c>
      <c r="Q12" s="24" t="s">
        <v>201</v>
      </c>
    </row>
    <row r="13" customFormat="false" ht="97.5" hidden="false" customHeight="true" outlineLevel="0" collapsed="false">
      <c r="A13" s="16" t="n">
        <v>11</v>
      </c>
      <c r="B13" s="17" t="s">
        <v>202</v>
      </c>
      <c r="C13" s="18" t="s">
        <v>189</v>
      </c>
      <c r="D13" s="18" t="s">
        <v>203</v>
      </c>
      <c r="E13" s="18" t="s">
        <v>204</v>
      </c>
      <c r="F13" s="18" t="s">
        <v>205</v>
      </c>
      <c r="G13" s="18" t="s">
        <v>206</v>
      </c>
      <c r="H13" s="18" t="s">
        <v>207</v>
      </c>
      <c r="I13" s="18" t="s">
        <v>208</v>
      </c>
      <c r="J13" s="18" t="s">
        <v>209</v>
      </c>
      <c r="K13" s="18" t="s">
        <v>210</v>
      </c>
      <c r="L13" s="18" t="s">
        <v>211</v>
      </c>
      <c r="M13" s="18" t="s">
        <v>212</v>
      </c>
      <c r="N13" s="20" t="n">
        <v>3</v>
      </c>
      <c r="O13" s="25" t="n">
        <v>4</v>
      </c>
      <c r="P13" s="26" t="s">
        <v>213</v>
      </c>
      <c r="Q13" s="18" t="s">
        <v>214</v>
      </c>
    </row>
    <row r="14" customFormat="false" ht="97.5" hidden="false" customHeight="true" outlineLevel="0" collapsed="false">
      <c r="A14" s="22" t="n">
        <v>12</v>
      </c>
      <c r="B14" s="23" t="s">
        <v>215</v>
      </c>
      <c r="C14" s="24" t="s">
        <v>216</v>
      </c>
      <c r="D14" s="24" t="s">
        <v>217</v>
      </c>
      <c r="E14" s="24" t="s">
        <v>218</v>
      </c>
      <c r="F14" s="24" t="s">
        <v>219</v>
      </c>
      <c r="G14" s="24" t="s">
        <v>220</v>
      </c>
      <c r="H14" s="24" t="s">
        <v>221</v>
      </c>
      <c r="I14" s="24" t="s">
        <v>222</v>
      </c>
      <c r="J14" s="24" t="s">
        <v>223</v>
      </c>
      <c r="K14" s="24" t="s">
        <v>224</v>
      </c>
      <c r="L14" s="24" t="s">
        <v>225</v>
      </c>
      <c r="M14" s="24" t="s">
        <v>226</v>
      </c>
      <c r="N14" s="19" t="n">
        <v>5</v>
      </c>
      <c r="O14" s="19" t="n">
        <v>1</v>
      </c>
      <c r="P14" s="26" t="s">
        <v>227</v>
      </c>
      <c r="Q14" s="24" t="s">
        <v>228</v>
      </c>
    </row>
    <row r="15" customFormat="false" ht="86.25" hidden="false" customHeight="true" outlineLevel="0" collapsed="false">
      <c r="A15" s="16" t="n">
        <v>13</v>
      </c>
      <c r="B15" s="17" t="s">
        <v>229</v>
      </c>
      <c r="C15" s="18" t="s">
        <v>230</v>
      </c>
      <c r="D15" s="18" t="s">
        <v>86</v>
      </c>
      <c r="E15" s="18" t="s">
        <v>231</v>
      </c>
      <c r="F15" s="18" t="s">
        <v>232</v>
      </c>
      <c r="G15" s="18" t="s">
        <v>233</v>
      </c>
      <c r="H15" s="18" t="s">
        <v>234</v>
      </c>
      <c r="I15" s="18" t="s">
        <v>235</v>
      </c>
      <c r="J15" s="18" t="s">
        <v>209</v>
      </c>
      <c r="K15" s="18" t="s">
        <v>236</v>
      </c>
      <c r="L15" s="18" t="s">
        <v>237</v>
      </c>
      <c r="M15" s="18" t="s">
        <v>238</v>
      </c>
      <c r="N15" s="20" t="n">
        <v>3</v>
      </c>
      <c r="O15" s="25" t="n">
        <v>4</v>
      </c>
      <c r="P15" s="26" t="s">
        <v>239</v>
      </c>
      <c r="Q15" s="18" t="s">
        <v>240</v>
      </c>
    </row>
    <row r="16" customFormat="false" ht="86.25" hidden="false" customHeight="true" outlineLevel="0" collapsed="false">
      <c r="A16" s="22" t="n">
        <v>14</v>
      </c>
      <c r="B16" s="23" t="s">
        <v>241</v>
      </c>
      <c r="C16" s="24" t="s">
        <v>242</v>
      </c>
      <c r="D16" s="24" t="s">
        <v>86</v>
      </c>
      <c r="E16" s="24" t="s">
        <v>243</v>
      </c>
      <c r="F16" s="24" t="s">
        <v>244</v>
      </c>
      <c r="G16" s="24" t="s">
        <v>245</v>
      </c>
      <c r="H16" s="24" t="s">
        <v>235</v>
      </c>
      <c r="I16" s="24" t="s">
        <v>235</v>
      </c>
      <c r="J16" s="24" t="s">
        <v>209</v>
      </c>
      <c r="K16" s="24" t="s">
        <v>246</v>
      </c>
      <c r="L16" s="24" t="s">
        <v>247</v>
      </c>
      <c r="M16" s="24" t="s">
        <v>248</v>
      </c>
      <c r="N16" s="25" t="n">
        <v>1</v>
      </c>
      <c r="O16" s="25" t="n">
        <v>4</v>
      </c>
      <c r="P16" s="26" t="s">
        <v>249</v>
      </c>
      <c r="Q16" s="24" t="s">
        <v>250</v>
      </c>
    </row>
    <row r="17" customFormat="false" ht="132" hidden="false" customHeight="true" outlineLevel="0" collapsed="false">
      <c r="A17" s="16" t="n">
        <v>15</v>
      </c>
      <c r="B17" s="17" t="s">
        <v>251</v>
      </c>
      <c r="C17" s="18" t="s">
        <v>252</v>
      </c>
      <c r="D17" s="18" t="s">
        <v>86</v>
      </c>
      <c r="E17" s="18" t="s">
        <v>253</v>
      </c>
      <c r="F17" s="18" t="s">
        <v>254</v>
      </c>
      <c r="G17" s="18" t="s">
        <v>255</v>
      </c>
      <c r="H17" s="18" t="s">
        <v>235</v>
      </c>
      <c r="I17" s="18" t="s">
        <v>235</v>
      </c>
      <c r="J17" s="18" t="s">
        <v>256</v>
      </c>
      <c r="K17" s="18" t="s">
        <v>257</v>
      </c>
      <c r="L17" s="18" t="s">
        <v>258</v>
      </c>
      <c r="M17" s="18" t="s">
        <v>259</v>
      </c>
      <c r="N17" s="20" t="n">
        <v>3</v>
      </c>
      <c r="O17" s="20" t="n">
        <v>3</v>
      </c>
      <c r="P17" s="26" t="s">
        <v>260</v>
      </c>
      <c r="Q17" s="18" t="s">
        <v>261</v>
      </c>
    </row>
    <row r="18" customFormat="false" ht="86.25" hidden="false" customHeight="true" outlineLevel="0" collapsed="false">
      <c r="A18" s="22" t="n">
        <v>16</v>
      </c>
      <c r="B18" s="23" t="s">
        <v>262</v>
      </c>
      <c r="C18" s="24" t="s">
        <v>263</v>
      </c>
      <c r="D18" s="24" t="s">
        <v>264</v>
      </c>
      <c r="E18" s="24" t="s">
        <v>265</v>
      </c>
      <c r="F18" s="24" t="s">
        <v>266</v>
      </c>
      <c r="G18" s="24" t="s">
        <v>267</v>
      </c>
      <c r="H18" s="24" t="s">
        <v>268</v>
      </c>
      <c r="I18" s="24" t="s">
        <v>269</v>
      </c>
      <c r="J18" s="24" t="s">
        <v>270</v>
      </c>
      <c r="K18" s="24" t="s">
        <v>271</v>
      </c>
      <c r="L18" s="24" t="s">
        <v>272</v>
      </c>
      <c r="M18" s="24" t="s">
        <v>273</v>
      </c>
      <c r="N18" s="25" t="n">
        <v>2</v>
      </c>
      <c r="O18" s="25" t="n">
        <v>4</v>
      </c>
      <c r="P18" s="27" t="s">
        <v>274</v>
      </c>
      <c r="Q18" s="24" t="s">
        <v>275</v>
      </c>
    </row>
    <row r="19" customFormat="false" ht="63" hidden="false" customHeight="true" outlineLevel="0" collapsed="false">
      <c r="A19" s="16" t="n">
        <v>17</v>
      </c>
      <c r="B19" s="17" t="s">
        <v>276</v>
      </c>
      <c r="C19" s="18" t="s">
        <v>277</v>
      </c>
      <c r="D19" s="18" t="s">
        <v>264</v>
      </c>
      <c r="E19" s="18" t="s">
        <v>278</v>
      </c>
      <c r="F19" s="18" t="s">
        <v>279</v>
      </c>
      <c r="G19" s="18" t="s">
        <v>280</v>
      </c>
      <c r="H19" s="18" t="s">
        <v>281</v>
      </c>
      <c r="I19" s="18" t="s">
        <v>282</v>
      </c>
      <c r="J19" s="18" t="s">
        <v>283</v>
      </c>
      <c r="K19" s="18" t="s">
        <v>284</v>
      </c>
      <c r="L19" s="18" t="s">
        <v>285</v>
      </c>
      <c r="M19" s="18" t="s">
        <v>286</v>
      </c>
      <c r="N19" s="25" t="n">
        <v>2</v>
      </c>
      <c r="O19" s="20" t="n">
        <v>3</v>
      </c>
      <c r="P19" s="27" t="s">
        <v>274</v>
      </c>
      <c r="Q19" s="18" t="s">
        <v>287</v>
      </c>
    </row>
    <row r="20" customFormat="false" ht="109.5" hidden="false" customHeight="true" outlineLevel="0" collapsed="false">
      <c r="A20" s="22" t="n">
        <v>18</v>
      </c>
      <c r="B20" s="23" t="s">
        <v>288</v>
      </c>
      <c r="C20" s="24" t="s">
        <v>289</v>
      </c>
      <c r="D20" s="24" t="s">
        <v>290</v>
      </c>
      <c r="E20" s="24" t="s">
        <v>291</v>
      </c>
      <c r="F20" s="24" t="s">
        <v>292</v>
      </c>
      <c r="G20" s="24" t="s">
        <v>293</v>
      </c>
      <c r="H20" s="24" t="s">
        <v>294</v>
      </c>
      <c r="I20" s="24" t="s">
        <v>295</v>
      </c>
      <c r="J20" s="24" t="s">
        <v>296</v>
      </c>
      <c r="K20" s="24" t="s">
        <v>297</v>
      </c>
      <c r="L20" s="24" t="s">
        <v>298</v>
      </c>
      <c r="M20" s="24" t="s">
        <v>299</v>
      </c>
      <c r="N20" s="25" t="n">
        <v>1</v>
      </c>
      <c r="O20" s="25" t="n">
        <v>5</v>
      </c>
      <c r="P20" s="26" t="s">
        <v>300</v>
      </c>
      <c r="Q20" s="24" t="s">
        <v>301</v>
      </c>
    </row>
    <row r="21" customFormat="false" ht="86.25" hidden="false" customHeight="true" outlineLevel="0" collapsed="false">
      <c r="A21" s="16" t="n">
        <v>19</v>
      </c>
      <c r="B21" s="17" t="s">
        <v>302</v>
      </c>
      <c r="C21" s="18" t="s">
        <v>303</v>
      </c>
      <c r="D21" s="18" t="s">
        <v>304</v>
      </c>
      <c r="E21" s="18" t="s">
        <v>305</v>
      </c>
      <c r="F21" s="18" t="s">
        <v>306</v>
      </c>
      <c r="G21" s="18" t="s">
        <v>307</v>
      </c>
      <c r="H21" s="18" t="s">
        <v>308</v>
      </c>
      <c r="I21" s="18" t="s">
        <v>309</v>
      </c>
      <c r="J21" s="18" t="s">
        <v>310</v>
      </c>
      <c r="K21" s="18" t="s">
        <v>311</v>
      </c>
      <c r="L21" s="18" t="s">
        <v>312</v>
      </c>
      <c r="M21" s="18" t="s">
        <v>313</v>
      </c>
      <c r="N21" s="25" t="n">
        <v>2</v>
      </c>
      <c r="O21" s="20" t="n">
        <v>3</v>
      </c>
      <c r="P21" s="26" t="s">
        <v>314</v>
      </c>
      <c r="Q21" s="18" t="s">
        <v>315</v>
      </c>
    </row>
    <row r="22" customFormat="false" ht="60" hidden="false" customHeight="true" outlineLevel="0" collapsed="false">
      <c r="A22" s="22" t="n">
        <v>20</v>
      </c>
      <c r="B22" s="23" t="s">
        <v>316</v>
      </c>
      <c r="C22" s="24" t="s">
        <v>317</v>
      </c>
      <c r="D22" s="24" t="s">
        <v>318</v>
      </c>
      <c r="E22" s="24" t="s">
        <v>319</v>
      </c>
      <c r="F22" s="24" t="s">
        <v>320</v>
      </c>
      <c r="G22" s="24" t="s">
        <v>173</v>
      </c>
      <c r="H22" s="24" t="s">
        <v>321</v>
      </c>
      <c r="I22" s="24" t="s">
        <v>173</v>
      </c>
      <c r="J22" s="24" t="s">
        <v>173</v>
      </c>
      <c r="K22" s="24" t="s">
        <v>322</v>
      </c>
      <c r="L22" s="24" t="s">
        <v>323</v>
      </c>
      <c r="M22" s="24" t="s">
        <v>324</v>
      </c>
      <c r="N22" s="25" t="n">
        <v>1</v>
      </c>
      <c r="O22" s="19" t="n">
        <v>1</v>
      </c>
      <c r="P22" s="21" t="s">
        <v>325</v>
      </c>
      <c r="Q22" s="24" t="s">
        <v>111</v>
      </c>
    </row>
    <row r="23" customFormat="false" ht="86.25" hidden="false" customHeight="true" outlineLevel="0" collapsed="false">
      <c r="A23" s="16" t="n">
        <v>21</v>
      </c>
      <c r="B23" s="17" t="s">
        <v>326</v>
      </c>
      <c r="C23" s="18" t="s">
        <v>327</v>
      </c>
      <c r="D23" s="18" t="s">
        <v>328</v>
      </c>
      <c r="E23" s="18" t="s">
        <v>329</v>
      </c>
      <c r="F23" s="18" t="s">
        <v>330</v>
      </c>
      <c r="G23" s="18" t="s">
        <v>330</v>
      </c>
      <c r="H23" s="18" t="s">
        <v>331</v>
      </c>
      <c r="I23" s="18" t="s">
        <v>332</v>
      </c>
      <c r="J23" s="18" t="s">
        <v>173</v>
      </c>
      <c r="K23" s="18" t="s">
        <v>333</v>
      </c>
      <c r="L23" s="18" t="s">
        <v>334</v>
      </c>
      <c r="M23" s="18" t="s">
        <v>335</v>
      </c>
      <c r="N23" s="20" t="n">
        <v>3</v>
      </c>
      <c r="O23" s="19" t="n">
        <v>1</v>
      </c>
      <c r="P23" s="21" t="s">
        <v>110</v>
      </c>
      <c r="Q23" s="18" t="s">
        <v>111</v>
      </c>
    </row>
    <row r="24" customFormat="false" ht="63" hidden="false" customHeight="true" outlineLevel="0" collapsed="false">
      <c r="A24" s="22" t="n">
        <v>22</v>
      </c>
      <c r="B24" s="23" t="s">
        <v>336</v>
      </c>
      <c r="C24" s="24" t="s">
        <v>337</v>
      </c>
      <c r="D24" s="24" t="s">
        <v>338</v>
      </c>
      <c r="E24" s="24" t="s">
        <v>339</v>
      </c>
      <c r="F24" s="24" t="s">
        <v>340</v>
      </c>
      <c r="G24" s="24" t="s">
        <v>341</v>
      </c>
      <c r="H24" s="24" t="s">
        <v>342</v>
      </c>
      <c r="I24" s="24" t="s">
        <v>343</v>
      </c>
      <c r="J24" s="24" t="s">
        <v>344</v>
      </c>
      <c r="K24" s="24" t="s">
        <v>345</v>
      </c>
      <c r="L24" s="24" t="s">
        <v>346</v>
      </c>
      <c r="M24" s="24" t="s">
        <v>347</v>
      </c>
      <c r="N24" s="25" t="n">
        <v>2</v>
      </c>
      <c r="O24" s="19" t="n">
        <v>2</v>
      </c>
      <c r="P24" s="27" t="s">
        <v>274</v>
      </c>
      <c r="Q24" s="24" t="s">
        <v>348</v>
      </c>
    </row>
    <row r="25" customFormat="false" ht="63" hidden="false" customHeight="true" outlineLevel="0" collapsed="false">
      <c r="A25" s="16" t="n">
        <v>23</v>
      </c>
      <c r="B25" s="17" t="s">
        <v>349</v>
      </c>
      <c r="C25" s="18" t="s">
        <v>350</v>
      </c>
      <c r="D25" s="18" t="s">
        <v>351</v>
      </c>
      <c r="E25" s="18" t="s">
        <v>352</v>
      </c>
      <c r="F25" s="18" t="s">
        <v>353</v>
      </c>
      <c r="G25" s="18" t="s">
        <v>354</v>
      </c>
      <c r="H25" s="18" t="s">
        <v>355</v>
      </c>
      <c r="I25" s="18" t="s">
        <v>356</v>
      </c>
      <c r="J25" s="18" t="s">
        <v>357</v>
      </c>
      <c r="K25" s="18" t="s">
        <v>358</v>
      </c>
      <c r="L25" s="18" t="s">
        <v>359</v>
      </c>
      <c r="M25" s="18" t="s">
        <v>360</v>
      </c>
      <c r="N25" s="20" t="n">
        <v>3</v>
      </c>
      <c r="O25" s="20" t="n">
        <v>3</v>
      </c>
      <c r="P25" s="27" t="s">
        <v>274</v>
      </c>
      <c r="Q25" s="18" t="s">
        <v>361</v>
      </c>
    </row>
    <row r="26" customFormat="false" ht="75" hidden="false" customHeight="true" outlineLevel="0" collapsed="false">
      <c r="A26" s="22" t="n">
        <v>24</v>
      </c>
      <c r="B26" s="23" t="s">
        <v>362</v>
      </c>
      <c r="C26" s="24" t="s">
        <v>363</v>
      </c>
      <c r="D26" s="24" t="s">
        <v>364</v>
      </c>
      <c r="E26" s="24" t="s">
        <v>365</v>
      </c>
      <c r="F26" s="24" t="s">
        <v>366</v>
      </c>
      <c r="G26" s="24" t="s">
        <v>367</v>
      </c>
      <c r="H26" s="24" t="s">
        <v>368</v>
      </c>
      <c r="I26" s="24" t="s">
        <v>369</v>
      </c>
      <c r="J26" s="24" t="s">
        <v>370</v>
      </c>
      <c r="K26" s="24" t="s">
        <v>371</v>
      </c>
      <c r="L26" s="24" t="s">
        <v>372</v>
      </c>
      <c r="M26" s="24" t="s">
        <v>373</v>
      </c>
      <c r="N26" s="20" t="n">
        <v>3</v>
      </c>
      <c r="O26" s="19" t="n">
        <v>1</v>
      </c>
      <c r="P26" s="27" t="s">
        <v>274</v>
      </c>
      <c r="Q26" s="24" t="s">
        <v>374</v>
      </c>
    </row>
  </sheetData>
  <autoFilter ref="A2:Q26"/>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7"/>
    <col collapsed="false" customWidth="true" hidden="false" outlineLevel="0" max="3" min="3" style="0" width="18"/>
    <col collapsed="false" customWidth="true" hidden="false" outlineLevel="0" max="4" min="4" style="0" width="15"/>
    <col collapsed="false" customWidth="true" hidden="false" outlineLevel="0" max="5" min="5" style="0" width="30"/>
    <col collapsed="false" customWidth="true" hidden="false" outlineLevel="0" max="6" min="6" style="0" width="20"/>
    <col collapsed="false" customWidth="true" hidden="false" outlineLevel="0" max="7" min="7" style="0" width="34"/>
    <col collapsed="false" customWidth="true" hidden="false" outlineLevel="0" max="8" min="8" style="0" width="27"/>
    <col collapsed="false" customWidth="true" hidden="false" outlineLevel="0" max="9" min="9" style="0" width="24"/>
    <col collapsed="false" customWidth="true" hidden="false" outlineLevel="0" max="10" min="10" style="0" width="15"/>
    <col collapsed="false" customWidth="true" hidden="false" outlineLevel="0" max="11" min="11" style="0" width="30"/>
    <col collapsed="false" customWidth="true" hidden="false" outlineLevel="0" max="12" min="12" style="0" width="58"/>
    <col collapsed="false" customWidth="true" hidden="false" outlineLevel="0" max="13" min="13" style="0" width="52"/>
    <col collapsed="false" customWidth="true" hidden="false" outlineLevel="0" max="15" min="14" style="0" width="8"/>
    <col collapsed="false" customWidth="true" hidden="false" outlineLevel="0" max="16" min="16" style="0" width="20"/>
    <col collapsed="false" customWidth="true" hidden="false" outlineLevel="0" max="17" min="17" style="0" width="46"/>
  </cols>
  <sheetData>
    <row r="1" customFormat="false" ht="21.75" hidden="false" customHeight="true" outlineLevel="0" collapsed="false">
      <c r="A1" s="14" t="s">
        <v>375</v>
      </c>
      <c r="B1" s="14"/>
      <c r="C1" s="14"/>
      <c r="D1" s="14"/>
      <c r="E1" s="14"/>
      <c r="F1" s="14"/>
      <c r="G1" s="14"/>
      <c r="H1" s="14"/>
      <c r="I1" s="14"/>
      <c r="J1" s="14"/>
      <c r="K1" s="14"/>
      <c r="L1" s="14"/>
      <c r="M1" s="14"/>
      <c r="N1" s="14"/>
      <c r="O1" s="14"/>
      <c r="P1" s="14"/>
      <c r="Q1" s="14"/>
    </row>
    <row r="2" customFormat="false" ht="33.75" hidden="false" customHeight="true" outlineLevel="0" collapsed="false">
      <c r="A2" s="15" t="s">
        <v>67</v>
      </c>
      <c r="B2" s="15" t="s">
        <v>68</v>
      </c>
      <c r="C2" s="15" t="s">
        <v>69</v>
      </c>
      <c r="D2" s="15" t="s">
        <v>70</v>
      </c>
      <c r="E2" s="15" t="s">
        <v>71</v>
      </c>
      <c r="F2" s="15" t="s">
        <v>72</v>
      </c>
      <c r="G2" s="15" t="s">
        <v>73</v>
      </c>
      <c r="H2" s="15" t="s">
        <v>74</v>
      </c>
      <c r="I2" s="15" t="s">
        <v>75</v>
      </c>
      <c r="J2" s="15" t="s">
        <v>76</v>
      </c>
      <c r="K2" s="15" t="s">
        <v>77</v>
      </c>
      <c r="L2" s="15" t="s">
        <v>78</v>
      </c>
      <c r="M2" s="15" t="s">
        <v>79</v>
      </c>
      <c r="N2" s="15" t="s">
        <v>80</v>
      </c>
      <c r="O2" s="15" t="s">
        <v>81</v>
      </c>
      <c r="P2" s="15" t="s">
        <v>82</v>
      </c>
      <c r="Q2" s="15" t="s">
        <v>83</v>
      </c>
    </row>
    <row r="3" customFormat="false" ht="189.75" hidden="false" customHeight="true" outlineLevel="0" collapsed="false">
      <c r="A3" s="16" t="n">
        <v>1</v>
      </c>
      <c r="B3" s="17" t="s">
        <v>376</v>
      </c>
      <c r="C3" s="18" t="s">
        <v>377</v>
      </c>
      <c r="D3" s="18" t="s">
        <v>378</v>
      </c>
      <c r="E3" s="18" t="s">
        <v>379</v>
      </c>
      <c r="F3" s="18" t="s">
        <v>380</v>
      </c>
      <c r="G3" s="18" t="s">
        <v>381</v>
      </c>
      <c r="H3" s="18" t="s">
        <v>382</v>
      </c>
      <c r="I3" s="18" t="s">
        <v>383</v>
      </c>
      <c r="J3" s="18" t="s">
        <v>384</v>
      </c>
      <c r="K3" s="18" t="s">
        <v>385</v>
      </c>
      <c r="L3" s="18" t="s">
        <v>386</v>
      </c>
      <c r="M3" s="18" t="s">
        <v>387</v>
      </c>
      <c r="N3" s="19" t="n">
        <v>5</v>
      </c>
      <c r="O3" s="19" t="n">
        <v>2</v>
      </c>
      <c r="P3" s="21" t="s">
        <v>388</v>
      </c>
      <c r="Q3" s="18" t="s">
        <v>389</v>
      </c>
    </row>
    <row r="4" customFormat="false" ht="189.75" hidden="false" customHeight="true" outlineLevel="0" collapsed="false">
      <c r="A4" s="22" t="n">
        <v>2</v>
      </c>
      <c r="B4" s="23" t="s">
        <v>390</v>
      </c>
      <c r="C4" s="24" t="s">
        <v>391</v>
      </c>
      <c r="D4" s="24" t="s">
        <v>392</v>
      </c>
      <c r="E4" s="24" t="s">
        <v>393</v>
      </c>
      <c r="F4" s="24" t="s">
        <v>394</v>
      </c>
      <c r="G4" s="24" t="s">
        <v>395</v>
      </c>
      <c r="H4" s="24" t="s">
        <v>396</v>
      </c>
      <c r="I4" s="24" t="s">
        <v>397</v>
      </c>
      <c r="J4" s="24" t="s">
        <v>398</v>
      </c>
      <c r="K4" s="24" t="s">
        <v>399</v>
      </c>
      <c r="L4" s="24" t="s">
        <v>400</v>
      </c>
      <c r="M4" s="24" t="s">
        <v>401</v>
      </c>
      <c r="N4" s="20" t="n">
        <v>3</v>
      </c>
      <c r="O4" s="19" t="n">
        <v>2</v>
      </c>
      <c r="P4" s="21" t="s">
        <v>402</v>
      </c>
      <c r="Q4" s="24" t="s">
        <v>403</v>
      </c>
    </row>
    <row r="5" customFormat="false" ht="97.5" hidden="false" customHeight="true" outlineLevel="0" collapsed="false">
      <c r="A5" s="16" t="n">
        <v>3</v>
      </c>
      <c r="B5" s="17" t="s">
        <v>404</v>
      </c>
      <c r="C5" s="18" t="s">
        <v>405</v>
      </c>
      <c r="D5" s="18" t="s">
        <v>264</v>
      </c>
      <c r="E5" s="18" t="s">
        <v>406</v>
      </c>
      <c r="F5" s="18" t="s">
        <v>407</v>
      </c>
      <c r="G5" s="18" t="s">
        <v>408</v>
      </c>
      <c r="H5" s="18" t="s">
        <v>409</v>
      </c>
      <c r="I5" s="18" t="s">
        <v>410</v>
      </c>
      <c r="J5" s="18" t="s">
        <v>209</v>
      </c>
      <c r="K5" s="18" t="s">
        <v>411</v>
      </c>
      <c r="L5" s="18" t="s">
        <v>412</v>
      </c>
      <c r="M5" s="18" t="s">
        <v>413</v>
      </c>
      <c r="N5" s="19" t="n">
        <v>4</v>
      </c>
      <c r="O5" s="20" t="n">
        <v>3</v>
      </c>
      <c r="P5" s="27" t="s">
        <v>274</v>
      </c>
      <c r="Q5" s="18" t="s">
        <v>414</v>
      </c>
    </row>
    <row r="6" customFormat="false" ht="155.25" hidden="false" customHeight="true" outlineLevel="0" collapsed="false">
      <c r="A6" s="22" t="n">
        <v>4</v>
      </c>
      <c r="B6" s="23" t="s">
        <v>415</v>
      </c>
      <c r="C6" s="24" t="s">
        <v>416</v>
      </c>
      <c r="D6" s="24" t="s">
        <v>417</v>
      </c>
      <c r="E6" s="24" t="s">
        <v>418</v>
      </c>
      <c r="F6" s="24" t="s">
        <v>419</v>
      </c>
      <c r="G6" s="24" t="s">
        <v>420</v>
      </c>
      <c r="H6" s="24" t="s">
        <v>421</v>
      </c>
      <c r="I6" s="24" t="s">
        <v>422</v>
      </c>
      <c r="J6" s="24" t="s">
        <v>423</v>
      </c>
      <c r="K6" s="24" t="s">
        <v>424</v>
      </c>
      <c r="L6" s="24" t="s">
        <v>425</v>
      </c>
      <c r="M6" s="24" t="s">
        <v>426</v>
      </c>
      <c r="N6" s="25" t="n">
        <v>2</v>
      </c>
      <c r="O6" s="19" t="n">
        <v>2</v>
      </c>
      <c r="P6" s="27" t="s">
        <v>274</v>
      </c>
      <c r="Q6" s="24" t="s">
        <v>427</v>
      </c>
    </row>
    <row r="7" customFormat="false" ht="132" hidden="false" customHeight="true" outlineLevel="0" collapsed="false">
      <c r="A7" s="16" t="n">
        <v>5</v>
      </c>
      <c r="B7" s="17" t="s">
        <v>428</v>
      </c>
      <c r="C7" s="18" t="s">
        <v>416</v>
      </c>
      <c r="D7" s="18" t="s">
        <v>429</v>
      </c>
      <c r="E7" s="18" t="s">
        <v>430</v>
      </c>
      <c r="F7" s="18" t="s">
        <v>431</v>
      </c>
      <c r="G7" s="18" t="s">
        <v>432</v>
      </c>
      <c r="H7" s="18" t="s">
        <v>433</v>
      </c>
      <c r="I7" s="18" t="s">
        <v>434</v>
      </c>
      <c r="J7" s="18" t="s">
        <v>435</v>
      </c>
      <c r="K7" s="18" t="s">
        <v>436</v>
      </c>
      <c r="L7" s="18" t="s">
        <v>437</v>
      </c>
      <c r="M7" s="18" t="s">
        <v>438</v>
      </c>
      <c r="N7" s="25" t="n">
        <v>2</v>
      </c>
      <c r="O7" s="20" t="n">
        <v>3</v>
      </c>
      <c r="P7" s="27" t="s">
        <v>274</v>
      </c>
      <c r="Q7" s="18" t="s">
        <v>439</v>
      </c>
    </row>
    <row r="8" customFormat="false" ht="97.5" hidden="false" customHeight="true" outlineLevel="0" collapsed="false">
      <c r="A8" s="22" t="n">
        <v>6</v>
      </c>
      <c r="B8" s="23" t="s">
        <v>440</v>
      </c>
      <c r="C8" s="24" t="s">
        <v>441</v>
      </c>
      <c r="D8" s="24" t="s">
        <v>442</v>
      </c>
      <c r="E8" s="24" t="s">
        <v>443</v>
      </c>
      <c r="F8" s="24" t="s">
        <v>444</v>
      </c>
      <c r="G8" s="24" t="s">
        <v>367</v>
      </c>
      <c r="H8" s="24" t="s">
        <v>445</v>
      </c>
      <c r="I8" s="24" t="s">
        <v>446</v>
      </c>
      <c r="J8" s="24" t="s">
        <v>173</v>
      </c>
      <c r="K8" s="24" t="s">
        <v>447</v>
      </c>
      <c r="L8" s="24" t="s">
        <v>448</v>
      </c>
      <c r="M8" s="24" t="s">
        <v>449</v>
      </c>
      <c r="N8" s="20" t="n">
        <v>3</v>
      </c>
      <c r="O8" s="19" t="n">
        <v>2</v>
      </c>
      <c r="P8" s="26" t="s">
        <v>450</v>
      </c>
      <c r="Q8" s="24" t="s">
        <v>451</v>
      </c>
    </row>
    <row r="9" customFormat="false" ht="86.25" hidden="false" customHeight="true" outlineLevel="0" collapsed="false">
      <c r="A9" s="16" t="n">
        <v>7</v>
      </c>
      <c r="B9" s="17" t="s">
        <v>452</v>
      </c>
      <c r="C9" s="18" t="s">
        <v>453</v>
      </c>
      <c r="D9" s="18" t="s">
        <v>454</v>
      </c>
      <c r="E9" s="18" t="s">
        <v>455</v>
      </c>
      <c r="F9" s="18" t="s">
        <v>456</v>
      </c>
      <c r="G9" s="18" t="s">
        <v>457</v>
      </c>
      <c r="H9" s="18" t="s">
        <v>458</v>
      </c>
      <c r="I9" s="18" t="s">
        <v>459</v>
      </c>
      <c r="J9" s="18" t="s">
        <v>209</v>
      </c>
      <c r="K9" s="18" t="s">
        <v>460</v>
      </c>
      <c r="L9" s="18" t="s">
        <v>461</v>
      </c>
      <c r="M9" s="18" t="s">
        <v>462</v>
      </c>
      <c r="N9" s="25" t="n">
        <v>1</v>
      </c>
      <c r="O9" s="19" t="n">
        <v>2</v>
      </c>
      <c r="P9" s="27" t="s">
        <v>274</v>
      </c>
      <c r="Q9" s="18" t="s">
        <v>463</v>
      </c>
    </row>
    <row r="10" customFormat="false" ht="86.25" hidden="false" customHeight="true" outlineLevel="0" collapsed="false">
      <c r="A10" s="22" t="n">
        <v>8</v>
      </c>
      <c r="B10" s="23" t="s">
        <v>464</v>
      </c>
      <c r="C10" s="24" t="s">
        <v>465</v>
      </c>
      <c r="D10" s="24" t="s">
        <v>466</v>
      </c>
      <c r="E10" s="24" t="s">
        <v>467</v>
      </c>
      <c r="F10" s="24" t="s">
        <v>468</v>
      </c>
      <c r="G10" s="24" t="s">
        <v>367</v>
      </c>
      <c r="H10" s="24" t="s">
        <v>469</v>
      </c>
      <c r="I10" s="24" t="s">
        <v>470</v>
      </c>
      <c r="J10" s="24" t="s">
        <v>173</v>
      </c>
      <c r="K10" s="24" t="s">
        <v>471</v>
      </c>
      <c r="L10" s="24" t="s">
        <v>472</v>
      </c>
      <c r="M10" s="24" t="s">
        <v>473</v>
      </c>
      <c r="N10" s="20" t="n">
        <v>3</v>
      </c>
      <c r="O10" s="19" t="n">
        <v>2</v>
      </c>
      <c r="P10" s="27" t="s">
        <v>274</v>
      </c>
      <c r="Q10" s="24" t="s">
        <v>474</v>
      </c>
    </row>
    <row r="11" customFormat="false" ht="63" hidden="false" customHeight="true" outlineLevel="0" collapsed="false">
      <c r="A11" s="16" t="n">
        <v>9</v>
      </c>
      <c r="B11" s="17" t="s">
        <v>475</v>
      </c>
      <c r="C11" s="18" t="s">
        <v>476</v>
      </c>
      <c r="D11" s="18" t="s">
        <v>477</v>
      </c>
      <c r="E11" s="18" t="s">
        <v>478</v>
      </c>
      <c r="F11" s="18" t="s">
        <v>479</v>
      </c>
      <c r="G11" s="18" t="s">
        <v>480</v>
      </c>
      <c r="H11" s="18" t="s">
        <v>481</v>
      </c>
      <c r="I11" s="18" t="s">
        <v>482</v>
      </c>
      <c r="J11" s="18" t="s">
        <v>482</v>
      </c>
      <c r="K11" s="18" t="s">
        <v>483</v>
      </c>
      <c r="L11" s="18" t="s">
        <v>484</v>
      </c>
      <c r="M11" s="18" t="s">
        <v>485</v>
      </c>
      <c r="N11" s="20" t="n">
        <v>3</v>
      </c>
      <c r="O11" s="19" t="n">
        <v>2</v>
      </c>
      <c r="P11" s="27" t="s">
        <v>486</v>
      </c>
      <c r="Q11" s="18" t="s">
        <v>487</v>
      </c>
    </row>
    <row r="12" customFormat="false" ht="120.75" hidden="false" customHeight="true" outlineLevel="0" collapsed="false">
      <c r="A12" s="22" t="n">
        <v>10</v>
      </c>
      <c r="B12" s="23" t="s">
        <v>488</v>
      </c>
      <c r="C12" s="24" t="s">
        <v>489</v>
      </c>
      <c r="D12" s="24" t="s">
        <v>490</v>
      </c>
      <c r="E12" s="24" t="s">
        <v>491</v>
      </c>
      <c r="F12" s="24" t="s">
        <v>492</v>
      </c>
      <c r="G12" s="24" t="s">
        <v>493</v>
      </c>
      <c r="H12" s="24" t="s">
        <v>494</v>
      </c>
      <c r="I12" s="24" t="s">
        <v>495</v>
      </c>
      <c r="J12" s="24" t="s">
        <v>496</v>
      </c>
      <c r="K12" s="24" t="s">
        <v>497</v>
      </c>
      <c r="L12" s="24" t="s">
        <v>498</v>
      </c>
      <c r="M12" s="24" t="s">
        <v>499</v>
      </c>
      <c r="N12" s="19" t="n">
        <v>4</v>
      </c>
      <c r="O12" s="19" t="n">
        <v>2</v>
      </c>
      <c r="P12" s="26" t="s">
        <v>500</v>
      </c>
      <c r="Q12" s="24" t="s">
        <v>501</v>
      </c>
    </row>
    <row r="13" customFormat="false" ht="86.25" hidden="false" customHeight="true" outlineLevel="0" collapsed="false">
      <c r="A13" s="16" t="n">
        <v>11</v>
      </c>
      <c r="B13" s="17" t="s">
        <v>502</v>
      </c>
      <c r="C13" s="18" t="s">
        <v>503</v>
      </c>
      <c r="D13" s="18" t="s">
        <v>504</v>
      </c>
      <c r="E13" s="18" t="s">
        <v>505</v>
      </c>
      <c r="F13" s="18" t="s">
        <v>506</v>
      </c>
      <c r="G13" s="18" t="s">
        <v>367</v>
      </c>
      <c r="H13" s="18" t="s">
        <v>507</v>
      </c>
      <c r="I13" s="18" t="s">
        <v>508</v>
      </c>
      <c r="J13" s="18" t="s">
        <v>509</v>
      </c>
      <c r="K13" s="18" t="s">
        <v>510</v>
      </c>
      <c r="L13" s="18" t="s">
        <v>511</v>
      </c>
      <c r="M13" s="18" t="s">
        <v>512</v>
      </c>
      <c r="N13" s="20" t="n">
        <v>3</v>
      </c>
      <c r="O13" s="19" t="n">
        <v>2</v>
      </c>
      <c r="P13" s="27" t="s">
        <v>513</v>
      </c>
      <c r="Q13" s="18" t="s">
        <v>514</v>
      </c>
    </row>
  </sheetData>
  <autoFilter ref="A2:Q13"/>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3"/>
    <col collapsed="false" customWidth="true" hidden="false" outlineLevel="0" max="3" min="3" style="0" width="40"/>
    <col collapsed="false" customWidth="true" hidden="false" outlineLevel="0" max="4" min="4" style="0" width="62"/>
    <col collapsed="false" customWidth="true" hidden="false" outlineLevel="0" max="5" min="5" style="0" width="16"/>
    <col collapsed="false" customWidth="true" hidden="false" outlineLevel="0" max="6" min="6" style="0" width="14"/>
    <col collapsed="false" customWidth="true" hidden="false" outlineLevel="0" max="7" min="7" style="0" width="42"/>
  </cols>
  <sheetData>
    <row r="1" customFormat="false" ht="21.75" hidden="false" customHeight="true" outlineLevel="0" collapsed="false">
      <c r="A1" s="14" t="s">
        <v>515</v>
      </c>
      <c r="B1" s="14"/>
      <c r="C1" s="14"/>
      <c r="D1" s="14"/>
      <c r="E1" s="14"/>
      <c r="F1" s="14"/>
      <c r="G1" s="14"/>
    </row>
    <row r="3" customFormat="false" ht="15" hidden="false" customHeight="false" outlineLevel="0" collapsed="false">
      <c r="A3" s="12" t="s">
        <v>516</v>
      </c>
      <c r="B3" s="28" t="s">
        <v>517</v>
      </c>
      <c r="C3" s="29" t="s">
        <v>518</v>
      </c>
    </row>
    <row r="5" customFormat="false" ht="15" hidden="false" customHeight="false" outlineLevel="0" collapsed="false">
      <c r="A5" s="15" t="s">
        <v>519</v>
      </c>
      <c r="B5" s="15" t="s">
        <v>520</v>
      </c>
      <c r="C5" s="15" t="s">
        <v>68</v>
      </c>
      <c r="D5" s="15" t="s">
        <v>521</v>
      </c>
      <c r="E5" s="15" t="s">
        <v>522</v>
      </c>
      <c r="F5" s="15" t="s">
        <v>523</v>
      </c>
      <c r="G5" s="15" t="s">
        <v>83</v>
      </c>
    </row>
    <row r="6" customFormat="false" ht="25.5" hidden="false" customHeight="true" outlineLevel="0" collapsed="false">
      <c r="A6" s="22" t="s">
        <v>524</v>
      </c>
      <c r="B6" s="22" t="s">
        <v>173</v>
      </c>
      <c r="C6" s="23" t="s">
        <v>525</v>
      </c>
      <c r="D6" s="24" t="s">
        <v>526</v>
      </c>
      <c r="E6" s="22" t="str">
        <f aca="false">IF(DATEVALUE(A6)&lt;DATEVALUE($B$3),"abgelaufen","offen")</f>
        <v>abgelaufen</v>
      </c>
      <c r="F6" s="30" t="n">
        <f aca="false">DATEVALUE(A6)-DATEVALUE($B$3)</f>
        <v>-173</v>
      </c>
      <c r="G6" s="24" t="s">
        <v>527</v>
      </c>
    </row>
    <row r="7" customFormat="false" ht="25.5" hidden="false" customHeight="true" outlineLevel="0" collapsed="false">
      <c r="A7" s="16" t="s">
        <v>528</v>
      </c>
      <c r="B7" s="16" t="s">
        <v>529</v>
      </c>
      <c r="C7" s="17" t="s">
        <v>530</v>
      </c>
      <c r="D7" s="18" t="s">
        <v>531</v>
      </c>
      <c r="E7" s="16" t="str">
        <f aca="false">IF(DATEVALUE(A7)&lt;DATEVALUE($B$3),"abgelaufen","offen")</f>
        <v>abgelaufen</v>
      </c>
      <c r="F7" s="31" t="n">
        <f aca="false">DATEVALUE(A7)-DATEVALUE($B$3)</f>
        <v>-166</v>
      </c>
      <c r="G7" s="18" t="s">
        <v>532</v>
      </c>
    </row>
    <row r="8" customFormat="false" ht="25.5" hidden="false" customHeight="true" outlineLevel="0" collapsed="false">
      <c r="A8" s="22" t="s">
        <v>533</v>
      </c>
      <c r="B8" s="22" t="s">
        <v>534</v>
      </c>
      <c r="C8" s="23" t="s">
        <v>535</v>
      </c>
      <c r="D8" s="24" t="s">
        <v>536</v>
      </c>
      <c r="E8" s="22" t="str">
        <f aca="false">IF(DATEVALUE(A8)&lt;DATEVALUE($B$3),"abgelaufen","offen")</f>
        <v>abgelaufen</v>
      </c>
      <c r="F8" s="30" t="n">
        <f aca="false">DATEVALUE(A8)-DATEVALUE($B$3)</f>
        <v>-145</v>
      </c>
      <c r="G8" s="24" t="s">
        <v>537</v>
      </c>
    </row>
    <row r="9" customFormat="false" ht="25.5" hidden="false" customHeight="true" outlineLevel="0" collapsed="false">
      <c r="A9" s="16" t="s">
        <v>538</v>
      </c>
      <c r="B9" s="16" t="s">
        <v>539</v>
      </c>
      <c r="C9" s="17" t="s">
        <v>540</v>
      </c>
      <c r="D9" s="18" t="s">
        <v>541</v>
      </c>
      <c r="E9" s="16" t="str">
        <f aca="false">IF(DATEVALUE(A9)&lt;DATEVALUE($B$3),"abgelaufen","offen")</f>
        <v>abgelaufen</v>
      </c>
      <c r="F9" s="31" t="n">
        <f aca="false">DATEVALUE(A9)-DATEVALUE($B$3)</f>
        <v>-110</v>
      </c>
      <c r="G9" s="18" t="s">
        <v>527</v>
      </c>
    </row>
    <row r="10" customFormat="false" ht="25.5" hidden="false" customHeight="true" outlineLevel="0" collapsed="false">
      <c r="A10" s="22" t="s">
        <v>542</v>
      </c>
      <c r="B10" s="22" t="s">
        <v>529</v>
      </c>
      <c r="C10" s="23" t="s">
        <v>98</v>
      </c>
      <c r="D10" s="24" t="s">
        <v>543</v>
      </c>
      <c r="E10" s="22" t="str">
        <f aca="false">IF(DATEVALUE(A10)&lt;DATEVALUE($B$3),"abgelaufen","offen")</f>
        <v>abgelaufen</v>
      </c>
      <c r="F10" s="30" t="n">
        <f aca="false">DATEVALUE(A10)-DATEVALUE($B$3)</f>
        <v>-91</v>
      </c>
      <c r="G10" s="24" t="s">
        <v>532</v>
      </c>
    </row>
    <row r="11" customFormat="false" ht="25.5" hidden="false" customHeight="true" outlineLevel="0" collapsed="false">
      <c r="A11" s="16" t="s">
        <v>544</v>
      </c>
      <c r="B11" s="16" t="s">
        <v>173</v>
      </c>
      <c r="C11" s="17" t="s">
        <v>276</v>
      </c>
      <c r="D11" s="18" t="s">
        <v>545</v>
      </c>
      <c r="E11" s="16" t="str">
        <f aca="false">IF(DATEVALUE(A11)&lt;DATEVALUE($B$3),"abgelaufen","offen")</f>
        <v>abgelaufen</v>
      </c>
      <c r="F11" s="31" t="n">
        <f aca="false">DATEVALUE(A11)-DATEVALUE($B$3)</f>
        <v>-88</v>
      </c>
      <c r="G11" s="18" t="s">
        <v>546</v>
      </c>
    </row>
    <row r="12" customFormat="false" ht="25.5" hidden="false" customHeight="true" outlineLevel="0" collapsed="false">
      <c r="A12" s="22" t="s">
        <v>547</v>
      </c>
      <c r="B12" s="22" t="s">
        <v>173</v>
      </c>
      <c r="C12" s="23" t="s">
        <v>548</v>
      </c>
      <c r="D12" s="24" t="s">
        <v>549</v>
      </c>
      <c r="E12" s="22" t="str">
        <f aca="false">IF(DATEVALUE(A12)&lt;DATEVALUE($B$3),"abgelaufen","offen")</f>
        <v>abgelaufen</v>
      </c>
      <c r="F12" s="30" t="n">
        <f aca="false">DATEVALUE(A12)-DATEVALUE($B$3)</f>
        <v>-71</v>
      </c>
      <c r="G12" s="24" t="s">
        <v>550</v>
      </c>
    </row>
    <row r="13" customFormat="false" ht="25.5" hidden="false" customHeight="true" outlineLevel="0" collapsed="false">
      <c r="A13" s="16" t="s">
        <v>551</v>
      </c>
      <c r="B13" s="16" t="s">
        <v>529</v>
      </c>
      <c r="C13" s="17" t="s">
        <v>552</v>
      </c>
      <c r="D13" s="18" t="s">
        <v>553</v>
      </c>
      <c r="E13" s="16" t="str">
        <f aca="false">IF(DATEVALUE(A13)&lt;DATEVALUE($B$3),"abgelaufen","offen")</f>
        <v>abgelaufen</v>
      </c>
      <c r="F13" s="31" t="n">
        <f aca="false">DATEVALUE(A13)-DATEVALUE($B$3)</f>
        <v>-34</v>
      </c>
      <c r="G13" s="18" t="s">
        <v>532</v>
      </c>
    </row>
    <row r="14" customFormat="false" ht="25.5" hidden="false" customHeight="true" outlineLevel="0" collapsed="false">
      <c r="A14" s="22" t="s">
        <v>554</v>
      </c>
      <c r="B14" s="22" t="s">
        <v>173</v>
      </c>
      <c r="C14" s="23" t="s">
        <v>555</v>
      </c>
      <c r="D14" s="24" t="s">
        <v>556</v>
      </c>
      <c r="E14" s="22" t="str">
        <f aca="false">IF(DATEVALUE(A14)&lt;DATEVALUE($B$3),"abgelaufen","offen")</f>
        <v>offen</v>
      </c>
      <c r="F14" s="30" t="n">
        <f aca="false">DATEVALUE(A14)-DATEVALUE($B$3)</f>
        <v>16</v>
      </c>
      <c r="G14" s="24" t="s">
        <v>537</v>
      </c>
    </row>
    <row r="15" customFormat="false" ht="25.5" hidden="false" customHeight="true" outlineLevel="0" collapsed="false">
      <c r="A15" s="16" t="s">
        <v>557</v>
      </c>
      <c r="B15" s="16" t="s">
        <v>529</v>
      </c>
      <c r="C15" s="17" t="s">
        <v>558</v>
      </c>
      <c r="D15" s="18" t="s">
        <v>559</v>
      </c>
      <c r="E15" s="16" t="str">
        <f aca="false">IF(DATEVALUE(A15)&lt;DATEVALUE($B$3),"abgelaufen","offen")</f>
        <v>offen</v>
      </c>
      <c r="F15" s="31" t="n">
        <f aca="false">DATEVALUE(A15)-DATEVALUE($B$3)</f>
        <v>22</v>
      </c>
      <c r="G15" s="18" t="s">
        <v>532</v>
      </c>
    </row>
    <row r="16" customFormat="false" ht="25.5" hidden="false" customHeight="true" outlineLevel="0" collapsed="false">
      <c r="A16" s="22" t="s">
        <v>560</v>
      </c>
      <c r="B16" s="22" t="s">
        <v>529</v>
      </c>
      <c r="C16" s="23" t="s">
        <v>561</v>
      </c>
      <c r="D16" s="24" t="s">
        <v>562</v>
      </c>
      <c r="E16" s="22" t="str">
        <f aca="false">IF(DATEVALUE(A16)&lt;DATEVALUE($B$3),"abgelaufen","offen")</f>
        <v>offen</v>
      </c>
      <c r="F16" s="30" t="n">
        <f aca="false">DATEVALUE(A16)-DATEVALUE($B$3)</f>
        <v>29</v>
      </c>
      <c r="G16" s="24" t="s">
        <v>532</v>
      </c>
    </row>
    <row r="17" customFormat="false" ht="25.5" hidden="false" customHeight="true" outlineLevel="0" collapsed="false">
      <c r="A17" s="16" t="s">
        <v>563</v>
      </c>
      <c r="B17" s="16" t="s">
        <v>534</v>
      </c>
      <c r="C17" s="17" t="s">
        <v>564</v>
      </c>
      <c r="D17" s="18" t="s">
        <v>536</v>
      </c>
      <c r="E17" s="16" t="str">
        <f aca="false">IF(DATEVALUE(A17)&lt;DATEVALUE($B$3),"abgelaufen","offen")</f>
        <v>offen</v>
      </c>
      <c r="F17" s="31" t="n">
        <f aca="false">DATEVALUE(A17)-DATEVALUE($B$3)</f>
        <v>30</v>
      </c>
      <c r="G17" s="18" t="s">
        <v>537</v>
      </c>
    </row>
    <row r="18" customFormat="false" ht="25.5" hidden="false" customHeight="true" outlineLevel="0" collapsed="false">
      <c r="A18" s="22" t="s">
        <v>565</v>
      </c>
      <c r="B18" s="22" t="s">
        <v>529</v>
      </c>
      <c r="C18" s="23" t="s">
        <v>123</v>
      </c>
      <c r="D18" s="24" t="s">
        <v>566</v>
      </c>
      <c r="E18" s="22" t="str">
        <f aca="false">IF(DATEVALUE(A18)&lt;DATEVALUE($B$3),"abgelaufen","offen")</f>
        <v>offen</v>
      </c>
      <c r="F18" s="30" t="n">
        <f aca="false">DATEVALUE(A18)-DATEVALUE($B$3)</f>
        <v>36</v>
      </c>
      <c r="G18" s="24" t="s">
        <v>532</v>
      </c>
    </row>
    <row r="19" customFormat="false" ht="25.5" hidden="false" customHeight="true" outlineLevel="0" collapsed="false">
      <c r="A19" s="16" t="s">
        <v>567</v>
      </c>
      <c r="B19" s="16" t="s">
        <v>529</v>
      </c>
      <c r="C19" s="17" t="s">
        <v>568</v>
      </c>
      <c r="D19" s="18" t="s">
        <v>541</v>
      </c>
      <c r="E19" s="16" t="str">
        <f aca="false">IF(DATEVALUE(A19)&lt;DATEVALUE($B$3),"abgelaufen","offen")</f>
        <v>offen</v>
      </c>
      <c r="F19" s="31" t="n">
        <f aca="false">DATEVALUE(A19)-DATEVALUE($B$3)</f>
        <v>49</v>
      </c>
      <c r="G19" s="18" t="s">
        <v>569</v>
      </c>
    </row>
    <row r="20" customFormat="false" ht="25.5" hidden="false" customHeight="true" outlineLevel="0" collapsed="false">
      <c r="A20" s="22" t="s">
        <v>570</v>
      </c>
      <c r="B20" s="22" t="s">
        <v>173</v>
      </c>
      <c r="C20" s="23" t="s">
        <v>571</v>
      </c>
      <c r="D20" s="24" t="s">
        <v>572</v>
      </c>
      <c r="E20" s="22" t="str">
        <f aca="false">IF(DATEVALUE(A20)&lt;DATEVALUE($B$3),"abgelaufen","offen")</f>
        <v>offen</v>
      </c>
      <c r="F20" s="30" t="n">
        <f aca="false">DATEVALUE(A20)-DATEVALUE($B$3)</f>
        <v>51</v>
      </c>
      <c r="G20" s="24" t="s">
        <v>573</v>
      </c>
    </row>
    <row r="21" customFormat="false" ht="25.5" hidden="false" customHeight="true" outlineLevel="0" collapsed="false">
      <c r="A21" s="16" t="s">
        <v>574</v>
      </c>
      <c r="B21" s="16" t="s">
        <v>173</v>
      </c>
      <c r="C21" s="17" t="s">
        <v>575</v>
      </c>
      <c r="D21" s="18" t="s">
        <v>576</v>
      </c>
      <c r="E21" s="16" t="str">
        <f aca="false">IF(DATEVALUE(A21)&lt;DATEVALUE($B$3),"abgelaufen","offen")</f>
        <v>offen</v>
      </c>
      <c r="F21" s="31" t="n">
        <f aca="false">DATEVALUE(A21)-DATEVALUE($B$3)</f>
        <v>65</v>
      </c>
      <c r="G21" s="18" t="s">
        <v>577</v>
      </c>
    </row>
    <row r="22" customFormat="false" ht="25.5" hidden="false" customHeight="true" outlineLevel="0" collapsed="false">
      <c r="A22" s="22" t="s">
        <v>578</v>
      </c>
      <c r="B22" s="22" t="s">
        <v>529</v>
      </c>
      <c r="C22" s="23" t="s">
        <v>579</v>
      </c>
      <c r="D22" s="24" t="s">
        <v>580</v>
      </c>
      <c r="E22" s="22" t="str">
        <f aca="false">IF(DATEVALUE(A22)&lt;DATEVALUE($B$3),"abgelaufen","offen")</f>
        <v>offen</v>
      </c>
      <c r="F22" s="30" t="n">
        <f aca="false">DATEVALUE(A22)-DATEVALUE($B$3)</f>
        <v>78</v>
      </c>
      <c r="G22" s="24" t="s">
        <v>532</v>
      </c>
    </row>
    <row r="23" customFormat="false" ht="25.5" hidden="false" customHeight="true" outlineLevel="0" collapsed="false">
      <c r="A23" s="16" t="s">
        <v>578</v>
      </c>
      <c r="B23" s="16" t="s">
        <v>529</v>
      </c>
      <c r="C23" s="17" t="s">
        <v>167</v>
      </c>
      <c r="D23" s="18" t="s">
        <v>581</v>
      </c>
      <c r="E23" s="16" t="str">
        <f aca="false">IF(DATEVALUE(A23)&lt;DATEVALUE($B$3),"abgelaufen","offen")</f>
        <v>offen</v>
      </c>
      <c r="F23" s="31" t="n">
        <f aca="false">DATEVALUE(A23)-DATEVALUE($B$3)</f>
        <v>78</v>
      </c>
      <c r="G23" s="18" t="s">
        <v>532</v>
      </c>
    </row>
    <row r="24" customFormat="false" ht="25.5" hidden="false" customHeight="true" outlineLevel="0" collapsed="false">
      <c r="A24" s="22" t="s">
        <v>582</v>
      </c>
      <c r="B24" s="22" t="s">
        <v>539</v>
      </c>
      <c r="C24" s="23" t="s">
        <v>583</v>
      </c>
      <c r="D24" s="24" t="s">
        <v>584</v>
      </c>
      <c r="E24" s="22" t="str">
        <f aca="false">IF(DATEVALUE(A24)&lt;DATEVALUE($B$3),"abgelaufen","offen")</f>
        <v>offen</v>
      </c>
      <c r="F24" s="30" t="n">
        <f aca="false">DATEVALUE(A24)-DATEVALUE($B$3)</f>
        <v>83</v>
      </c>
      <c r="G24" s="24" t="s">
        <v>585</v>
      </c>
    </row>
    <row r="25" customFormat="false" ht="25.5" hidden="false" customHeight="true" outlineLevel="0" collapsed="false">
      <c r="A25" s="16" t="s">
        <v>586</v>
      </c>
      <c r="B25" s="16" t="s">
        <v>529</v>
      </c>
      <c r="C25" s="17" t="s">
        <v>587</v>
      </c>
      <c r="D25" s="18" t="s">
        <v>588</v>
      </c>
      <c r="E25" s="16" t="str">
        <f aca="false">IF(DATEVALUE(A25)&lt;DATEVALUE($B$3),"abgelaufen","offen")</f>
        <v>offen</v>
      </c>
      <c r="F25" s="31" t="n">
        <f aca="false">DATEVALUE(A25)-DATEVALUE($B$3)</f>
        <v>85</v>
      </c>
      <c r="G25" s="18" t="s">
        <v>532</v>
      </c>
    </row>
    <row r="26" customFormat="false" ht="25.5" hidden="false" customHeight="true" outlineLevel="0" collapsed="false">
      <c r="A26" s="22" t="s">
        <v>589</v>
      </c>
      <c r="B26" s="22" t="s">
        <v>529</v>
      </c>
      <c r="C26" s="23" t="s">
        <v>590</v>
      </c>
      <c r="D26" s="24" t="s">
        <v>591</v>
      </c>
      <c r="E26" s="22" t="str">
        <f aca="false">IF(DATEVALUE(A26)&lt;DATEVALUE($B$3),"abgelaufen","offen")</f>
        <v>offen</v>
      </c>
      <c r="F26" s="30" t="n">
        <f aca="false">DATEVALUE(A26)-DATEVALUE($B$3)</f>
        <v>106</v>
      </c>
      <c r="G26" s="24" t="s">
        <v>532</v>
      </c>
    </row>
    <row r="27" customFormat="false" ht="25.5" hidden="false" customHeight="true" outlineLevel="0" collapsed="false">
      <c r="A27" s="16" t="s">
        <v>592</v>
      </c>
      <c r="B27" s="16" t="s">
        <v>173</v>
      </c>
      <c r="C27" s="17" t="s">
        <v>593</v>
      </c>
      <c r="D27" s="18" t="s">
        <v>594</v>
      </c>
      <c r="E27" s="16" t="str">
        <f aca="false">IF(DATEVALUE(A27)&lt;DATEVALUE($B$3),"abgelaufen","offen")</f>
        <v>offen</v>
      </c>
      <c r="F27" s="31" t="n">
        <f aca="false">DATEVALUE(A27)-DATEVALUE($B$3)</f>
        <v>163</v>
      </c>
      <c r="G27" s="18" t="s">
        <v>595</v>
      </c>
    </row>
    <row r="28" customFormat="false" ht="25.5" hidden="false" customHeight="true" outlineLevel="0" collapsed="false">
      <c r="A28" s="22" t="s">
        <v>596</v>
      </c>
      <c r="B28" s="22" t="s">
        <v>539</v>
      </c>
      <c r="C28" s="23" t="s">
        <v>583</v>
      </c>
      <c r="D28" s="24" t="s">
        <v>597</v>
      </c>
      <c r="E28" s="22" t="str">
        <f aca="false">IF(DATEVALUE(A28)&lt;DATEVALUE($B$3),"abgelaufen","offen")</f>
        <v>offen</v>
      </c>
      <c r="F28" s="30" t="n">
        <f aca="false">DATEVALUE(A28)-DATEVALUE($B$3)</f>
        <v>184</v>
      </c>
      <c r="G28" s="24" t="s">
        <v>585</v>
      </c>
    </row>
    <row r="29" customFormat="false" ht="25.5" hidden="false" customHeight="true" outlineLevel="0" collapsed="false">
      <c r="A29" s="16" t="s">
        <v>598</v>
      </c>
      <c r="B29" s="16" t="s">
        <v>529</v>
      </c>
      <c r="C29" s="17" t="s">
        <v>599</v>
      </c>
      <c r="D29" s="18" t="s">
        <v>600</v>
      </c>
      <c r="E29" s="16" t="str">
        <f aca="false">IF(DATEVALUE(A29)&lt;DATEVALUE($B$3),"abgelaufen","offen")</f>
        <v>offen</v>
      </c>
      <c r="F29" s="31" t="n">
        <f aca="false">DATEVALUE(A29)-DATEVALUE($B$3)</f>
        <v>311</v>
      </c>
      <c r="G29" s="18" t="s">
        <v>532</v>
      </c>
    </row>
    <row r="31" customFormat="false" ht="15" hidden="false" customHeight="false" outlineLevel="0" collapsed="false">
      <c r="C31" s="32" t="s">
        <v>601</v>
      </c>
      <c r="D31" s="32" t="n">
        <f aca="false">COUNTIF(E6:E29,"offen")</f>
        <v>16</v>
      </c>
    </row>
    <row r="32" customFormat="false" ht="15" hidden="false" customHeight="false" outlineLevel="0" collapsed="false">
      <c r="C32" s="32" t="s">
        <v>602</v>
      </c>
      <c r="D32" s="32" t="n">
        <f aca="false">IFERROR(SMALL(F6:F29,COUNTIF(F6:F29,"&lt;0")+1),"-")</f>
        <v>16</v>
      </c>
    </row>
  </sheetData>
  <autoFilter ref="A5:G29"/>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4" min="3" style="0" width="12"/>
    <col collapsed="false" customWidth="true" hidden="false" outlineLevel="0" max="5" min="5" style="0" width="14"/>
    <col collapsed="false" customWidth="true" hidden="false" outlineLevel="0" max="6" min="6" style="0" width="12"/>
    <col collapsed="false" customWidth="true" hidden="false" outlineLevel="0" max="7" min="7" style="0" width="78"/>
  </cols>
  <sheetData>
    <row r="1" customFormat="false" ht="21.75" hidden="false" customHeight="true" outlineLevel="0" collapsed="false">
      <c r="A1" s="14" t="s">
        <v>603</v>
      </c>
      <c r="B1" s="14"/>
      <c r="C1" s="14"/>
      <c r="D1" s="14"/>
      <c r="E1" s="14"/>
      <c r="F1" s="14"/>
      <c r="G1" s="14"/>
    </row>
    <row r="3" customFormat="false" ht="15" hidden="false" customHeight="false" outlineLevel="0" collapsed="false">
      <c r="B3" s="12" t="s">
        <v>604</v>
      </c>
      <c r="C3" s="33" t="n">
        <v>2</v>
      </c>
      <c r="D3" s="34" t="s">
        <v>605</v>
      </c>
      <c r="E3" s="34"/>
      <c r="F3" s="34"/>
      <c r="G3" s="34"/>
    </row>
    <row r="4" customFormat="false" ht="15" hidden="false" customHeight="false" outlineLevel="0" collapsed="false">
      <c r="B4" s="12" t="s">
        <v>606</v>
      </c>
      <c r="C4" s="33" t="n">
        <v>1</v>
      </c>
    </row>
    <row r="6" customFormat="false" ht="15" hidden="false" customHeight="false" outlineLevel="0" collapsed="false">
      <c r="A6" s="15" t="s">
        <v>607</v>
      </c>
      <c r="B6" s="15" t="s">
        <v>68</v>
      </c>
      <c r="C6" s="15" t="s">
        <v>608</v>
      </c>
      <c r="D6" s="15" t="s">
        <v>609</v>
      </c>
      <c r="E6" s="15" t="s">
        <v>610</v>
      </c>
      <c r="F6" s="15" t="s">
        <v>611</v>
      </c>
      <c r="G6" s="15" t="s">
        <v>612</v>
      </c>
    </row>
    <row r="7" customFormat="false" ht="61.5" hidden="false" customHeight="true" outlineLevel="0" collapsed="false">
      <c r="A7" s="35" t="n">
        <f aca="false">RANK(F7,$F$7:$F$20)</f>
        <v>3</v>
      </c>
      <c r="B7" s="17" t="str">
        <f aca="false">01_EU_Programme!B3</f>
        <v>Eurostars 3 (Call 11 / Call 12)</v>
      </c>
      <c r="C7" s="18" t="s">
        <v>613</v>
      </c>
      <c r="D7" s="16" t="n">
        <f aca="false">01_EU_Programme!N3</f>
        <v>5</v>
      </c>
      <c r="E7" s="16" t="n">
        <f aca="false">01_EU_Programme!O3</f>
        <v>3</v>
      </c>
      <c r="F7" s="36" t="n">
        <f aca="false">D7*$C$3-E7*$C$4</f>
        <v>7</v>
      </c>
      <c r="G7" s="18" t="s">
        <v>614</v>
      </c>
    </row>
    <row r="8" customFormat="false" ht="61.5" hidden="false" customHeight="true" outlineLevel="0" collapsed="false">
      <c r="A8" s="37" t="n">
        <f aca="false">RANK(F8,$F$7:$F$20)</f>
        <v>1</v>
      </c>
      <c r="B8" s="23" t="str">
        <f aca="false">01_EU_Programme!B14</f>
        <v>EuroHPC AI Factories - Zugang zu Rechenkapazitaet</v>
      </c>
      <c r="C8" s="24" t="s">
        <v>613</v>
      </c>
      <c r="D8" s="22" t="n">
        <f aca="false">01_EU_Programme!N14</f>
        <v>5</v>
      </c>
      <c r="E8" s="22" t="n">
        <f aca="false">01_EU_Programme!O14</f>
        <v>1</v>
      </c>
      <c r="F8" s="38" t="n">
        <f aca="false">D8*$C$3-E8*$C$4</f>
        <v>9</v>
      </c>
      <c r="G8" s="24" t="s">
        <v>615</v>
      </c>
    </row>
    <row r="9" customFormat="false" ht="61.5" hidden="false" customHeight="true" outlineLevel="0" collapsed="false">
      <c r="A9" s="35" t="n">
        <f aca="false">RANK(F9,$F$7:$F$20)</f>
        <v>2</v>
      </c>
      <c r="B9" s="17" t="str">
        <f aca="false">02_DE_Programme!B3</f>
        <v>Forschungszulage (FZulG)</v>
      </c>
      <c r="C9" s="18" t="s">
        <v>616</v>
      </c>
      <c r="D9" s="16" t="n">
        <f aca="false">02_DE_Programme!N3</f>
        <v>5</v>
      </c>
      <c r="E9" s="16" t="n">
        <f aca="false">02_DE_Programme!O3</f>
        <v>2</v>
      </c>
      <c r="F9" s="36" t="n">
        <f aca="false">D9*$C$3-E9*$C$4</f>
        <v>8</v>
      </c>
      <c r="G9" s="18" t="s">
        <v>617</v>
      </c>
    </row>
    <row r="10" customFormat="false" ht="61.5" hidden="false" customHeight="true" outlineLevel="0" collapsed="false">
      <c r="A10" s="37" t="n">
        <f aca="false">RANK(F10,$F$7:$F$20)</f>
        <v>5</v>
      </c>
      <c r="B10" s="23" t="str">
        <f aca="false">01_EU_Programme!B7</f>
        <v>EIC Accelerator Open</v>
      </c>
      <c r="C10" s="24" t="s">
        <v>613</v>
      </c>
      <c r="D10" s="22" t="n">
        <f aca="false">01_EU_Programme!N7</f>
        <v>5</v>
      </c>
      <c r="E10" s="22" t="n">
        <f aca="false">01_EU_Programme!O7</f>
        <v>5</v>
      </c>
      <c r="F10" s="38" t="n">
        <f aca="false">D10*$C$3-E10*$C$4</f>
        <v>5</v>
      </c>
      <c r="G10" s="24" t="s">
        <v>618</v>
      </c>
    </row>
    <row r="11" customFormat="false" ht="61.5" hidden="false" customHeight="true" outlineLevel="0" collapsed="false">
      <c r="A11" s="35" t="n">
        <f aca="false">RANK(F11,$F$7:$F$20)</f>
        <v>9</v>
      </c>
      <c r="B11" s="17" t="str">
        <f aca="false">01_EU_Programme!B5</f>
        <v>EIC Pathfinder Challenges 2026</v>
      </c>
      <c r="C11" s="18" t="s">
        <v>613</v>
      </c>
      <c r="D11" s="16" t="n">
        <f aca="false">01_EU_Programme!N5</f>
        <v>4</v>
      </c>
      <c r="E11" s="16" t="n">
        <f aca="false">01_EU_Programme!O5</f>
        <v>4</v>
      </c>
      <c r="F11" s="36" t="n">
        <f aca="false">D11*$C$3-E11*$C$4</f>
        <v>4</v>
      </c>
      <c r="G11" s="18" t="s">
        <v>619</v>
      </c>
    </row>
    <row r="12" customFormat="false" ht="61.5" hidden="false" customHeight="true" outlineLevel="0" collapsed="false">
      <c r="A12" s="37" t="n">
        <f aca="false">RANK(F12,$F$7:$F$20)</f>
        <v>5</v>
      </c>
      <c r="B12" s="23" t="str">
        <f aca="false">02_DE_Programme!B5</f>
        <v>KMU-innovativ: IKT (inkl. Kuenstliche Intelligenz)</v>
      </c>
      <c r="C12" s="24" t="s">
        <v>616</v>
      </c>
      <c r="D12" s="22" t="n">
        <f aca="false">02_DE_Programme!N5</f>
        <v>4</v>
      </c>
      <c r="E12" s="22" t="n">
        <f aca="false">02_DE_Programme!O5</f>
        <v>3</v>
      </c>
      <c r="F12" s="38" t="n">
        <f aca="false">D12*$C$3-E12*$C$4</f>
        <v>5</v>
      </c>
      <c r="G12" s="24" t="s">
        <v>620</v>
      </c>
    </row>
    <row r="13" customFormat="false" ht="61.5" hidden="false" customHeight="true" outlineLevel="0" collapsed="false">
      <c r="A13" s="35" t="n">
        <f aca="false">RANK(F13,$F$7:$F$20)</f>
        <v>9</v>
      </c>
      <c r="B13" s="17" t="str">
        <f aca="false">02_DE_Programme!B4</f>
        <v>ZIM - Zentrales Innovationsprogramm Mittelstand</v>
      </c>
      <c r="C13" s="18" t="s">
        <v>616</v>
      </c>
      <c r="D13" s="16" t="n">
        <f aca="false">02_DE_Programme!N4</f>
        <v>3</v>
      </c>
      <c r="E13" s="16" t="n">
        <f aca="false">02_DE_Programme!O4</f>
        <v>2</v>
      </c>
      <c r="F13" s="36" t="n">
        <f aca="false">D13*$C$3-E13*$C$4</f>
        <v>4</v>
      </c>
      <c r="G13" s="18" t="s">
        <v>621</v>
      </c>
    </row>
    <row r="14" customFormat="false" ht="61.5" hidden="false" customHeight="true" outlineLevel="0" collapsed="false">
      <c r="A14" s="37" t="n">
        <f aca="false">RANK(F14,$F$7:$F$20)</f>
        <v>14</v>
      </c>
      <c r="B14" s="23" t="str">
        <f aca="false">01_EU_Programme!B12</f>
        <v>Horizon Europe Cluster 4 - Digital, Industry &amp; Space</v>
      </c>
      <c r="C14" s="24" t="s">
        <v>613</v>
      </c>
      <c r="D14" s="22" t="n">
        <f aca="false">01_EU_Programme!N12</f>
        <v>3</v>
      </c>
      <c r="E14" s="22" t="n">
        <f aca="false">01_EU_Programme!O12</f>
        <v>5</v>
      </c>
      <c r="F14" s="38" t="n">
        <f aca="false">D14*$C$3-E14*$C$4</f>
        <v>1</v>
      </c>
      <c r="G14" s="24" t="s">
        <v>622</v>
      </c>
    </row>
    <row r="15" customFormat="false" ht="61.5" hidden="false" customHeight="true" outlineLevel="0" collapsed="false">
      <c r="A15" s="35" t="n">
        <f aca="false">RANK(F15,$F$7:$F$20)</f>
        <v>12</v>
      </c>
      <c r="B15" s="17" t="str">
        <f aca="false">01_EU_Programme!B6</f>
        <v>EIC Transition</v>
      </c>
      <c r="C15" s="18" t="s">
        <v>613</v>
      </c>
      <c r="D15" s="16" t="n">
        <f aca="false">01_EU_Programme!N6</f>
        <v>3</v>
      </c>
      <c r="E15" s="16" t="n">
        <f aca="false">01_EU_Programme!O6</f>
        <v>3</v>
      </c>
      <c r="F15" s="36" t="n">
        <f aca="false">D15*$C$3-E15*$C$4</f>
        <v>3</v>
      </c>
      <c r="G15" s="18" t="s">
        <v>623</v>
      </c>
    </row>
    <row r="16" customFormat="false" ht="61.5" hidden="false" customHeight="true" outlineLevel="0" collapsed="false">
      <c r="A16" s="37" t="n">
        <f aca="false">RANK(F16,$F$7:$F$20)</f>
        <v>5</v>
      </c>
      <c r="B16" s="23" t="str">
        <f aca="false">01_EU_Programme!B23</f>
        <v>EIC Seal of Excellence / Sovereignty (STEP) Seal</v>
      </c>
      <c r="C16" s="24" t="s">
        <v>613</v>
      </c>
      <c r="D16" s="22" t="n">
        <f aca="false">01_EU_Programme!N23</f>
        <v>3</v>
      </c>
      <c r="E16" s="22" t="n">
        <f aca="false">01_EU_Programme!O23</f>
        <v>1</v>
      </c>
      <c r="F16" s="38" t="n">
        <f aca="false">D16*$C$3-E16*$C$4</f>
        <v>5</v>
      </c>
      <c r="G16" s="24" t="s">
        <v>624</v>
      </c>
    </row>
    <row r="17" customFormat="false" ht="61.5" hidden="false" customHeight="true" outlineLevel="0" collapsed="false">
      <c r="A17" s="35" t="n">
        <f aca="false">RANK(F17,$F$7:$F$20)</f>
        <v>9</v>
      </c>
      <c r="B17" s="17" t="str">
        <f aca="false">02_DE_Programme!B11</f>
        <v>Landesprogramme (bundeslandspezifisch)</v>
      </c>
      <c r="C17" s="18" t="s">
        <v>616</v>
      </c>
      <c r="D17" s="16" t="n">
        <f aca="false">02_DE_Programme!N11</f>
        <v>3</v>
      </c>
      <c r="E17" s="16" t="n">
        <f aca="false">02_DE_Programme!O11</f>
        <v>2</v>
      </c>
      <c r="F17" s="36" t="n">
        <f aca="false">D17*$C$3-E17*$C$4</f>
        <v>4</v>
      </c>
      <c r="G17" s="18" t="s">
        <v>625</v>
      </c>
    </row>
    <row r="18" customFormat="false" ht="61.5" hidden="false" customHeight="true" outlineLevel="0" collapsed="false">
      <c r="A18" s="37" t="n">
        <f aca="false">RANK(F18,$F$7:$F$20)</f>
        <v>4</v>
      </c>
      <c r="B18" s="23" t="str">
        <f aca="false">02_DE_Programme!B12</f>
        <v>SPRIND - Bundesagentur fuer Sprunginnovationen</v>
      </c>
      <c r="C18" s="24" t="s">
        <v>616</v>
      </c>
      <c r="D18" s="22" t="n">
        <f aca="false">02_DE_Programme!N12</f>
        <v>4</v>
      </c>
      <c r="E18" s="22" t="n">
        <f aca="false">02_DE_Programme!O12</f>
        <v>2</v>
      </c>
      <c r="F18" s="38" t="n">
        <f aca="false">D18*$C$3-E18*$C$4</f>
        <v>6</v>
      </c>
      <c r="G18" s="24" t="s">
        <v>626</v>
      </c>
    </row>
    <row r="19" customFormat="false" ht="61.5" hidden="false" customHeight="true" outlineLevel="0" collapsed="false">
      <c r="A19" s="35" t="n">
        <f aca="false">RANK(F19,$F$7:$F$20)</f>
        <v>5</v>
      </c>
      <c r="B19" s="17" t="str">
        <f aca="false">01_EU_Programme!B26</f>
        <v>Eureka Innowwide</v>
      </c>
      <c r="C19" s="18" t="s">
        <v>613</v>
      </c>
      <c r="D19" s="16" t="n">
        <f aca="false">01_EU_Programme!N26</f>
        <v>3</v>
      </c>
      <c r="E19" s="16" t="n">
        <f aca="false">01_EU_Programme!O26</f>
        <v>1</v>
      </c>
      <c r="F19" s="36" t="n">
        <f aca="false">D19*$C$3-E19*$C$4</f>
        <v>5</v>
      </c>
      <c r="G19" s="18" t="s">
        <v>627</v>
      </c>
    </row>
    <row r="20" customFormat="false" ht="61.5" hidden="false" customHeight="true" outlineLevel="0" collapsed="false">
      <c r="A20" s="37" t="n">
        <f aca="false">RANK(F20,$F$7:$F$20)</f>
        <v>12</v>
      </c>
      <c r="B20" s="23" t="str">
        <f aca="false">01_EU_Programme!B17</f>
        <v>Eureka Globalstars / Network Projects</v>
      </c>
      <c r="C20" s="24" t="s">
        <v>613</v>
      </c>
      <c r="D20" s="22" t="n">
        <f aca="false">01_EU_Programme!N17</f>
        <v>3</v>
      </c>
      <c r="E20" s="22" t="n">
        <f aca="false">01_EU_Programme!O17</f>
        <v>3</v>
      </c>
      <c r="F20" s="38" t="n">
        <f aca="false">D20*$C$3-E20*$C$4</f>
        <v>3</v>
      </c>
      <c r="G20" s="24" t="s">
        <v>628</v>
      </c>
    </row>
    <row r="22" customFormat="false" ht="39.75" hidden="false" customHeight="true" outlineLevel="0" collapsed="false">
      <c r="B22" s="39" t="s">
        <v>629</v>
      </c>
      <c r="G22" s="40" t="s">
        <v>630</v>
      </c>
    </row>
  </sheetData>
  <mergeCells count="2">
    <mergeCell ref="A1:G1"/>
    <mergeCell ref="D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26"/>
    <col collapsed="false" customWidth="true" hidden="false" outlineLevel="0" max="4" min="4" style="0" width="52"/>
    <col collapsed="false" customWidth="true" hidden="false" outlineLevel="0" max="5" min="5" style="0" width="96"/>
  </cols>
  <sheetData>
    <row r="1" customFormat="false" ht="15" hidden="false" customHeight="false" outlineLevel="0" collapsed="false">
      <c r="A1" s="14" t="s">
        <v>631</v>
      </c>
      <c r="B1" s="14"/>
      <c r="C1" s="14"/>
      <c r="D1" s="14"/>
      <c r="E1" s="14"/>
    </row>
    <row r="3" customFormat="false" ht="15" hidden="false" customHeight="false" outlineLevel="0" collapsed="false">
      <c r="A3" s="15" t="s">
        <v>67</v>
      </c>
      <c r="B3" s="15" t="s">
        <v>83</v>
      </c>
      <c r="C3" s="15" t="s">
        <v>632</v>
      </c>
      <c r="D3" s="15" t="s">
        <v>633</v>
      </c>
      <c r="E3" s="15" t="s">
        <v>634</v>
      </c>
    </row>
    <row r="4" customFormat="false" ht="43.5" hidden="false" customHeight="true" outlineLevel="0" collapsed="false">
      <c r="A4" s="22" t="n">
        <v>1</v>
      </c>
      <c r="B4" s="23" t="s">
        <v>635</v>
      </c>
      <c r="C4" s="21" t="s">
        <v>636</v>
      </c>
      <c r="D4" s="24" t="s">
        <v>637</v>
      </c>
      <c r="E4" s="41" t="s">
        <v>638</v>
      </c>
    </row>
    <row r="5" customFormat="false" ht="43.5" hidden="false" customHeight="true" outlineLevel="0" collapsed="false">
      <c r="A5" s="16" t="n">
        <v>2</v>
      </c>
      <c r="B5" s="17" t="s">
        <v>639</v>
      </c>
      <c r="C5" s="21" t="s">
        <v>636</v>
      </c>
      <c r="D5" s="18" t="s">
        <v>640</v>
      </c>
      <c r="E5" s="42" t="s">
        <v>641</v>
      </c>
    </row>
    <row r="6" customFormat="false" ht="43.5" hidden="false" customHeight="true" outlineLevel="0" collapsed="false">
      <c r="A6" s="22" t="n">
        <v>3</v>
      </c>
      <c r="B6" s="23" t="s">
        <v>642</v>
      </c>
      <c r="C6" s="21" t="s">
        <v>643</v>
      </c>
      <c r="D6" s="24" t="s">
        <v>644</v>
      </c>
      <c r="E6" s="41" t="s">
        <v>645</v>
      </c>
    </row>
    <row r="7" customFormat="false" ht="43.5" hidden="false" customHeight="true" outlineLevel="0" collapsed="false">
      <c r="A7" s="16" t="n">
        <v>4</v>
      </c>
      <c r="B7" s="17" t="s">
        <v>646</v>
      </c>
      <c r="C7" s="26" t="s">
        <v>16</v>
      </c>
      <c r="D7" s="18" t="s">
        <v>647</v>
      </c>
      <c r="E7" s="42" t="s">
        <v>648</v>
      </c>
    </row>
    <row r="8" customFormat="false" ht="43.5" hidden="false" customHeight="true" outlineLevel="0" collapsed="false">
      <c r="A8" s="22" t="n">
        <v>5</v>
      </c>
      <c r="B8" s="23" t="s">
        <v>649</v>
      </c>
      <c r="C8" s="26" t="s">
        <v>16</v>
      </c>
      <c r="D8" s="24" t="s">
        <v>650</v>
      </c>
      <c r="E8" s="41" t="s">
        <v>651</v>
      </c>
    </row>
    <row r="9" customFormat="false" ht="43.5" hidden="false" customHeight="true" outlineLevel="0" collapsed="false">
      <c r="A9" s="16" t="n">
        <v>6</v>
      </c>
      <c r="B9" s="17" t="s">
        <v>652</v>
      </c>
      <c r="C9" s="26" t="s">
        <v>16</v>
      </c>
      <c r="D9" s="18" t="s">
        <v>653</v>
      </c>
      <c r="E9" s="42" t="s">
        <v>654</v>
      </c>
    </row>
    <row r="10" customFormat="false" ht="43.5" hidden="false" customHeight="true" outlineLevel="0" collapsed="false">
      <c r="A10" s="22" t="n">
        <v>7</v>
      </c>
      <c r="B10" s="23" t="s">
        <v>655</v>
      </c>
      <c r="C10" s="26" t="s">
        <v>16</v>
      </c>
      <c r="D10" s="24" t="s">
        <v>656</v>
      </c>
      <c r="E10" s="41" t="s">
        <v>657</v>
      </c>
    </row>
    <row r="11" customFormat="false" ht="43.5" hidden="false" customHeight="true" outlineLevel="0" collapsed="false">
      <c r="A11" s="16" t="n">
        <v>8</v>
      </c>
      <c r="B11" s="17" t="s">
        <v>658</v>
      </c>
      <c r="C11" s="26" t="s">
        <v>16</v>
      </c>
      <c r="D11" s="18" t="s">
        <v>659</v>
      </c>
      <c r="E11" s="42" t="s">
        <v>660</v>
      </c>
    </row>
    <row r="12" customFormat="false" ht="43.5" hidden="false" customHeight="true" outlineLevel="0" collapsed="false">
      <c r="A12" s="22" t="n">
        <v>9</v>
      </c>
      <c r="B12" s="23" t="s">
        <v>661</v>
      </c>
      <c r="C12" s="26" t="s">
        <v>16</v>
      </c>
      <c r="D12" s="24" t="s">
        <v>662</v>
      </c>
      <c r="E12" s="41" t="s">
        <v>663</v>
      </c>
    </row>
    <row r="13" customFormat="false" ht="43.5" hidden="false" customHeight="true" outlineLevel="0" collapsed="false">
      <c r="A13" s="16" t="n">
        <v>10</v>
      </c>
      <c r="B13" s="17" t="s">
        <v>664</v>
      </c>
      <c r="C13" s="26" t="s">
        <v>16</v>
      </c>
      <c r="D13" s="18" t="s">
        <v>665</v>
      </c>
      <c r="E13" s="42" t="s">
        <v>666</v>
      </c>
    </row>
    <row r="14" customFormat="false" ht="43.5" hidden="false" customHeight="true" outlineLevel="0" collapsed="false">
      <c r="A14" s="22" t="n">
        <v>11</v>
      </c>
      <c r="B14" s="23" t="s">
        <v>667</v>
      </c>
      <c r="C14" s="26" t="s">
        <v>16</v>
      </c>
      <c r="D14" s="24" t="s">
        <v>668</v>
      </c>
      <c r="E14" s="41" t="s">
        <v>669</v>
      </c>
    </row>
    <row r="15" customFormat="false" ht="43.5" hidden="false" customHeight="true" outlineLevel="0" collapsed="false">
      <c r="A15" s="16" t="n">
        <v>12</v>
      </c>
      <c r="B15" s="17" t="s">
        <v>670</v>
      </c>
      <c r="C15" s="26" t="s">
        <v>16</v>
      </c>
      <c r="D15" s="18" t="s">
        <v>671</v>
      </c>
      <c r="E15" s="42" t="s">
        <v>672</v>
      </c>
    </row>
    <row r="16" customFormat="false" ht="43.5" hidden="false" customHeight="true" outlineLevel="0" collapsed="false">
      <c r="A16" s="22" t="n">
        <v>13</v>
      </c>
      <c r="B16" s="23" t="s">
        <v>673</v>
      </c>
      <c r="C16" s="27" t="s">
        <v>674</v>
      </c>
      <c r="D16" s="24" t="s">
        <v>675</v>
      </c>
      <c r="E16" s="41" t="s">
        <v>676</v>
      </c>
    </row>
    <row r="17" customFormat="false" ht="43.5" hidden="false" customHeight="true" outlineLevel="0" collapsed="false">
      <c r="A17" s="16" t="n">
        <v>14</v>
      </c>
      <c r="B17" s="17" t="s">
        <v>677</v>
      </c>
      <c r="C17" s="26" t="s">
        <v>16</v>
      </c>
      <c r="D17" s="18" t="s">
        <v>678</v>
      </c>
      <c r="E17" s="42" t="s">
        <v>679</v>
      </c>
    </row>
    <row r="18" customFormat="false" ht="43.5" hidden="false" customHeight="true" outlineLevel="0" collapsed="false">
      <c r="A18" s="22" t="n">
        <v>15</v>
      </c>
      <c r="B18" s="23" t="s">
        <v>680</v>
      </c>
      <c r="C18" s="26" t="s">
        <v>16</v>
      </c>
      <c r="D18" s="24" t="s">
        <v>681</v>
      </c>
      <c r="E18" s="41" t="s">
        <v>682</v>
      </c>
    </row>
    <row r="19" customFormat="false" ht="43.5" hidden="false" customHeight="true" outlineLevel="0" collapsed="false">
      <c r="A19" s="16" t="n">
        <v>16</v>
      </c>
      <c r="B19" s="17" t="s">
        <v>683</v>
      </c>
      <c r="C19" s="21" t="s">
        <v>684</v>
      </c>
      <c r="D19" s="18" t="s">
        <v>685</v>
      </c>
      <c r="E19" s="42" t="s">
        <v>686</v>
      </c>
    </row>
    <row r="20" customFormat="false" ht="43.5" hidden="false" customHeight="true" outlineLevel="0" collapsed="false">
      <c r="A20" s="22" t="n">
        <v>17</v>
      </c>
      <c r="B20" s="23" t="s">
        <v>687</v>
      </c>
      <c r="C20" s="27" t="s">
        <v>18</v>
      </c>
      <c r="D20" s="24" t="s">
        <v>688</v>
      </c>
      <c r="E20" s="41" t="s">
        <v>689</v>
      </c>
    </row>
    <row r="21" customFormat="false" ht="43.5" hidden="false" customHeight="true" outlineLevel="0" collapsed="false">
      <c r="A21" s="16" t="n">
        <v>18</v>
      </c>
      <c r="B21" s="17" t="s">
        <v>690</v>
      </c>
      <c r="C21" s="27" t="s">
        <v>691</v>
      </c>
      <c r="D21" s="18" t="s">
        <v>692</v>
      </c>
      <c r="E21" s="42" t="s">
        <v>693</v>
      </c>
    </row>
    <row r="22" customFormat="false" ht="43.5" hidden="false" customHeight="true" outlineLevel="0" collapsed="false">
      <c r="A22" s="22" t="n">
        <v>19</v>
      </c>
      <c r="B22" s="23" t="s">
        <v>694</v>
      </c>
      <c r="C22" s="27" t="s">
        <v>695</v>
      </c>
      <c r="D22" s="24" t="s">
        <v>696</v>
      </c>
      <c r="E22" s="41" t="s">
        <v>697</v>
      </c>
    </row>
    <row r="23" customFormat="false" ht="43.5" hidden="false" customHeight="true" outlineLevel="0" collapsed="false">
      <c r="A23" s="16" t="n">
        <v>20</v>
      </c>
      <c r="B23" s="17" t="s">
        <v>698</v>
      </c>
      <c r="C23" s="21" t="s">
        <v>636</v>
      </c>
      <c r="D23" s="18" t="s">
        <v>699</v>
      </c>
      <c r="E23" s="42" t="s">
        <v>700</v>
      </c>
    </row>
    <row r="24" customFormat="false" ht="43.5" hidden="false" customHeight="true" outlineLevel="0" collapsed="false">
      <c r="A24" s="22" t="n">
        <v>21</v>
      </c>
      <c r="B24" s="23" t="s">
        <v>701</v>
      </c>
      <c r="C24" s="21" t="s">
        <v>684</v>
      </c>
      <c r="D24" s="24" t="s">
        <v>702</v>
      </c>
      <c r="E24" s="41" t="s">
        <v>703</v>
      </c>
    </row>
    <row r="25" customFormat="false" ht="43.5" hidden="false" customHeight="true" outlineLevel="0" collapsed="false">
      <c r="A25" s="16" t="n">
        <v>22</v>
      </c>
      <c r="B25" s="17" t="s">
        <v>704</v>
      </c>
      <c r="C25" s="26" t="s">
        <v>16</v>
      </c>
      <c r="D25" s="18" t="s">
        <v>705</v>
      </c>
      <c r="E25" s="42" t="s">
        <v>706</v>
      </c>
    </row>
    <row r="26" customFormat="false" ht="43.5" hidden="false" customHeight="true" outlineLevel="0" collapsed="false">
      <c r="A26" s="22" t="n">
        <v>23</v>
      </c>
      <c r="B26" s="23" t="s">
        <v>707</v>
      </c>
      <c r="C26" s="26" t="s">
        <v>708</v>
      </c>
      <c r="D26" s="24" t="s">
        <v>709</v>
      </c>
      <c r="E26" s="41" t="s">
        <v>710</v>
      </c>
    </row>
    <row r="27" customFormat="false" ht="43.5" hidden="false" customHeight="true" outlineLevel="0" collapsed="false">
      <c r="A27" s="16" t="n">
        <v>24</v>
      </c>
      <c r="B27" s="17" t="s">
        <v>711</v>
      </c>
      <c r="C27" s="26" t="s">
        <v>712</v>
      </c>
      <c r="D27" s="18" t="s">
        <v>713</v>
      </c>
      <c r="E27" s="42" t="s">
        <v>714</v>
      </c>
    </row>
    <row r="28" customFormat="false" ht="43.5" hidden="false" customHeight="true" outlineLevel="0" collapsed="false">
      <c r="A28" s="22" t="n">
        <v>25</v>
      </c>
      <c r="B28" s="23" t="s">
        <v>715</v>
      </c>
      <c r="C28" s="27" t="s">
        <v>18</v>
      </c>
      <c r="D28" s="24" t="s">
        <v>716</v>
      </c>
      <c r="E28" s="24" t="s">
        <v>717</v>
      </c>
    </row>
  </sheetData>
  <mergeCells count="1">
    <mergeCell ref="A1:E1"/>
  </mergeCells>
  <hyperlinks>
    <hyperlink ref="E4" r:id="rId1" display="https://eic.ec.europa.eu/system/files/2025-11/EIC-Work-Programme-2026.pdf"/>
    <hyperlink ref="E5" r:id="rId2" display="https://www.eurekanetwork.org/wp-content/uploads/2026/07/eurostars-eligibility-guidelines.pdf"/>
    <hyperlink ref="E6" r:id="rId3" display="https://eic.ec.europa.eu/document/download/9d96fbf3-4d85-4ad0-9483-c77ce348111d_en"/>
    <hyperlink ref="E7" r:id="rId4" display="https://www.eurekanetwork.org/programmes-and-calls/eurostars/eurostars-call-for-projects-september-2026/"/>
    <hyperlink ref="E8" r:id="rId5" display="https://www.bmftr.bund.de/EN/Research/InternationalAffairs/Europe/Eurostars/eurostars_node.html"/>
    <hyperlink ref="E9" r:id="rId6" display="https://eic.ec.europa.eu/eic-funding-opportunities/eic-2026-work-programme_en"/>
    <hyperlink ref="E10" r:id="rId7" display="https://www.zim.de/ZIM/Redaktion/DE/Meldungen/2026/3/2026-07-07-befristeter-antragsstopp.html"/>
    <hyperlink ref="E11" r:id="rId8" display="https://www.zim.de/ZIM/Navigation/DE/Foerderangebote/Kooperationsprojekte/kooperationsprojekte.html"/>
    <hyperlink ref="E12" r:id="rId9" display="https://www.eurohpc-ju.europa.eu/ai-factories_en"/>
    <hyperlink ref="E13" r:id="rId10" display="https://digital-strategy.ec.europa.eu/en/activities/digital-programme"/>
    <hyperlink ref="E14" r:id="rId11" display="https://www.eurekanetwork.org/programmes-and-calls/globalstars/"/>
    <hyperlink ref="E15" r:id="rId12" display="https://itea4.org/current-call.html"/>
    <hyperlink ref="E16" r:id="rId13" display="https://eudis.europa.eu/eudis-tracks/sme-calls_en"/>
    <hyperlink ref="E17" r:id="rId14" display="https://cinea.ec.europa.eu/programmes/innovation-fund_en"/>
    <hyperlink ref="E18" r:id="rId15" display="https://www.eib.org/en/products/equity/venture-debt/index"/>
    <hyperlink ref="E19" r:id="rId16" display="https://www.gesetze-im-internet.de/fzulg/BJNR276310019.html"/>
    <hyperlink ref="E20" r:id="rId17" display="https://www.ideal-ist.eu/news/horizon-europe-cluster-4-work-programme-2026-2027-adopted"/>
    <hyperlink ref="E21" r:id="rId18" display="https://www.vdivde-it.de/de/kmu-innovativ-ikt"/>
    <hyperlink ref="E22" r:id="rId19" display="https://exist.de/wp-content/uploads/2024/10/260609_Handbuch_EFT_2026_barrierefrei.pdf"/>
    <hyperlink ref="E23" r:id="rId20" display="https://www.bundesanzeiger.de/pub/publication/H4hLAtOVVOn1N7yG6vR"/>
    <hyperlink ref="E24" r:id="rId21" display="https://www.gesetze-im-internet.de/fzulg/__3.html"/>
    <hyperlink ref="E25" r:id="rId22" display="https://www.bafa.de/DE/Wirtschaft/Beratung_Finanzierung/Invest/invest_node.html"/>
    <hyperlink ref="E26" r:id="rId23" display="https://www.sprind.org/en/actions/challenges/next-frontier-ai"/>
    <hyperlink ref="E27" r:id="rId24" display="https://www.eurekanetwork.org/programmes-and-calls/eureka-clusters/xecs-call-6-202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2026-08-11T22:08:19Z</dcterms:created>
  <dc:creator>openpyxl</dc:creator>
  <dc:description/>
  <dc:language>en-US</dc:language>
  <cp:lastModifiedBy/>
  <dcterms:modified xsi:type="dcterms:W3CDTF">2026-08-11T22:08:19Z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